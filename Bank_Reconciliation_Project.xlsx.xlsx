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f057b0c0bdeac7/Project 1/"/>
    </mc:Choice>
  </mc:AlternateContent>
  <xr:revisionPtr revIDLastSave="2082" documentId="8_{53E2F493-CEAD-4D86-BCC3-46F0ED077944}" xr6:coauthVersionLast="47" xr6:coauthVersionMax="47" xr10:uidLastSave="{E6B9D5E6-6F80-46EB-AB8A-4DF79A6795BF}"/>
  <bookViews>
    <workbookView xWindow="-110" yWindow="-110" windowWidth="19420" windowHeight="10300" xr2:uid="{F1D1A2EF-39B4-4572-B65E-AF63997970B8}"/>
  </bookViews>
  <sheets>
    <sheet name="Dashboard" sheetId="13" r:id="rId1"/>
    <sheet name="Chart Data" sheetId="14" state="hidden" r:id="rId2"/>
    <sheet name="Zoho Ledger" sheetId="1" r:id="rId3"/>
    <sheet name="HDFC Statements" sheetId="8" r:id="rId4"/>
    <sheet name="Matched Transactions" sheetId="9" r:id="rId5"/>
    <sheet name="Discrepancy Analysis" sheetId="10" r:id="rId6"/>
    <sheet name="BRS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8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9" i="1"/>
  <c r="B7" i="8"/>
  <c r="C7" i="8"/>
  <c r="D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01ED63-F001-4216-BFE4-13A167EBE317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874BA6AC-09C4-49AF-AD1E-1868C401261C}" keepAlive="1" name="Query - Table003 (Page 1-2)" description="Connection to the 'Table003 (Page 1-2)' query in the workbook." type="5" refreshedVersion="8" background="1" saveData="1">
    <dbPr connection="Provider=Microsoft.Mashup.OleDb.1;Data Source=$Workbook$;Location=&quot;Table003 (Page 1-2)&quot;;Extended Properties=&quot;&quot;" command="SELECT * FROM [Table003 (Page 1-2)]"/>
  </connection>
</connections>
</file>

<file path=xl/sharedStrings.xml><?xml version="1.0" encoding="utf-8"?>
<sst xmlns="http://schemas.openxmlformats.org/spreadsheetml/2006/main" count="654" uniqueCount="348">
  <si>
    <t>Arka Tea Traders Pvt Ltd</t>
  </si>
  <si>
    <t>Account Transactions</t>
  </si>
  <si>
    <t>HDFC Current Account</t>
  </si>
  <si>
    <t>Basis: Accrual</t>
  </si>
  <si>
    <t>From 01/01/2026 To 31/03/2026</t>
  </si>
  <si>
    <t>**Amount is displayed in your base currency INR</t>
  </si>
  <si>
    <t>Date</t>
  </si>
  <si>
    <t>Account</t>
  </si>
  <si>
    <t>Transaction Details</t>
  </si>
  <si>
    <t>Transaction Type</t>
  </si>
  <si>
    <t>Transaction#</t>
  </si>
  <si>
    <t>Reference#</t>
  </si>
  <si>
    <t>Debit</t>
  </si>
  <si>
    <t>Credit</t>
  </si>
  <si>
    <t>Opening Balance</t>
  </si>
  <si>
    <t>Spice Garden Restaurants - NEFT receipt</t>
  </si>
  <si>
    <t>Customer Payment</t>
  </si>
  <si>
    <t>CP-2026/001</t>
  </si>
  <si>
    <t>Office Rent - Ravi Menon (SI)</t>
  </si>
  <si>
    <t>Journal</t>
  </si>
  <si>
    <t>J-2026/011</t>
  </si>
  <si>
    <t>Nilgiris Tea Estate Pvt Ltd - RTGS</t>
  </si>
  <si>
    <t>Vendor Payment</t>
  </si>
  <si>
    <t>VP-2026/002</t>
  </si>
  <si>
    <t>Hill View Resorts Pvt Ltd - NEFT receipt</t>
  </si>
  <si>
    <t>CP-2026/003</t>
  </si>
  <si>
    <t>Mahadev Provisions - Cheque deposit</t>
  </si>
  <si>
    <t>CP-2026/004</t>
  </si>
  <si>
    <t>Packaging Solutions India Pvt Ltd - NEFT</t>
  </si>
  <si>
    <t>VP-2026/005</t>
  </si>
  <si>
    <t>KSEB - Electricity Bill (Dec)</t>
  </si>
  <si>
    <t>VP-2026/006</t>
  </si>
  <si>
    <t>Coastal Hospitality Ltd - NEFT receipt</t>
  </si>
  <si>
    <t>CP-2026/007</t>
  </si>
  <si>
    <t>ACT Fibernet - Internet &amp; Phone</t>
  </si>
  <si>
    <t>VP-2026/008</t>
  </si>
  <si>
    <t>GST Payment - December 2025</t>
  </si>
  <si>
    <t>J-2026/015</t>
  </si>
  <si>
    <t>VP-2026/009</t>
  </si>
  <si>
    <t>Royal Freight Logistics - Cheque</t>
  </si>
  <si>
    <t>VP-2026/010</t>
  </si>
  <si>
    <t>Blue Lotus Cafe - UPI receipt</t>
  </si>
  <si>
    <t>CP-2026/011</t>
  </si>
  <si>
    <t>Retail Bazaar Chennai - UPI</t>
  </si>
  <si>
    <t>CP-2026/012</t>
  </si>
  <si>
    <t>VP-2026/014</t>
  </si>
  <si>
    <t>Green Leaf Cafe - NEFT receipt</t>
  </si>
  <si>
    <t>CP-2026/015</t>
  </si>
  <si>
    <t>CP-2026/016</t>
  </si>
  <si>
    <t>Assam Growers Collective - NEFT</t>
  </si>
  <si>
    <t>VP-2026/017</t>
  </si>
  <si>
    <t>CP-2026/018</t>
  </si>
  <si>
    <t>VP-2026/019</t>
  </si>
  <si>
    <t>KSEB - Electricity Bill (Jan)</t>
  </si>
  <si>
    <t>VP-2026/021</t>
  </si>
  <si>
    <t>Kaveri Retail Traders - NEFT receipt</t>
  </si>
  <si>
    <t>CP-2026/020</t>
  </si>
  <si>
    <t>VP-2026/022</t>
  </si>
  <si>
    <t>GST Payment - January 2026</t>
  </si>
  <si>
    <t>J-2026/028</t>
  </si>
  <si>
    <t>Monsoon Hotels Pvt Ltd - Cheque deposit</t>
  </si>
  <si>
    <t>CP-2026/023</t>
  </si>
  <si>
    <t>VP-2026/024</t>
  </si>
  <si>
    <t>CP-2026/025</t>
  </si>
  <si>
    <t>CP-2026/027</t>
  </si>
  <si>
    <t>VP-2026/028</t>
  </si>
  <si>
    <t>J-2026/034</t>
  </si>
  <si>
    <t>CP-2026/029</t>
  </si>
  <si>
    <t>Mahadev Provisions - NEFT receipt</t>
  </si>
  <si>
    <t>CP-2026/030</t>
  </si>
  <si>
    <t>Darjeeling Highland Tea - NEFT</t>
  </si>
  <si>
    <t>VP-2026/031</t>
  </si>
  <si>
    <t>CP-2026/032</t>
  </si>
  <si>
    <t>KSEB - Electricity Bill (Feb)</t>
  </si>
  <si>
    <t>VP-2026/033</t>
  </si>
  <si>
    <t>VP-2026/034</t>
  </si>
  <si>
    <t>GST Payment - February 2026</t>
  </si>
  <si>
    <t>J-2026/041</t>
  </si>
  <si>
    <t>CP-2026/035</t>
  </si>
  <si>
    <t>VP-2026/036</t>
  </si>
  <si>
    <t>CP-2026/037</t>
  </si>
  <si>
    <t>Darjeeling Highland Tea - Cheque</t>
  </si>
  <si>
    <t>VP-2026/038</t>
  </si>
  <si>
    <t>Green Leaf Cafe - UPI receipt</t>
  </si>
  <si>
    <t>CP-2026/039</t>
  </si>
  <si>
    <t>276,610.00 Dr</t>
  </si>
  <si>
    <t>As On 31/03/2026</t>
  </si>
  <si>
    <t>Closing Balance</t>
  </si>
  <si>
    <t>Value Date</t>
  </si>
  <si>
    <t>Narration</t>
  </si>
  <si>
    <t>Ref/Chq No.</t>
  </si>
  <si>
    <t>Balance (₹)</t>
  </si>
  <si>
    <t>SGR2601041</t>
  </si>
  <si>
    <t>SI/2601/0045</t>
  </si>
  <si>
    <t>RTGS-DR-NILGIRIS TEA EST-SBIN0002241</t>
  </si>
  <si>
    <t>HVR01102601</t>
  </si>
  <si>
    <t>CHQ000847</t>
  </si>
  <si>
    <t>N140125PSI0089</t>
  </si>
  <si>
    <t>BILLPAY-KSEB-CA12345-JAN2026</t>
  </si>
  <si>
    <t>BP260115KSEB</t>
  </si>
  <si>
    <t>CHL18012601</t>
  </si>
  <si>
    <t>BILLPAY-ACT FIBERNET-ACT774521</t>
  </si>
  <si>
    <t>BP260120ACT</t>
  </si>
  <si>
    <t>GST-PAYMENT-GSTIN32AABCA1234Z1Z5</t>
  </si>
  <si>
    <t>GST20012601</t>
  </si>
  <si>
    <t>CHQ ISSUED-ROYAL FREIGHT LOG-000421</t>
  </si>
  <si>
    <t>CHQ000421</t>
  </si>
  <si>
    <t>UPI26012401</t>
  </si>
  <si>
    <t>UPI-CR-retailbazaar@okaxis-RB29012601</t>
  </si>
  <si>
    <t>UPI26012901</t>
  </si>
  <si>
    <t>CREDIT INTEREST-SB-JAN2026</t>
  </si>
  <si>
    <t>INT310126</t>
  </si>
  <si>
    <t>CHARGES-QTR MAINTENANCE + GST</t>
  </si>
  <si>
    <t>CHG310126</t>
  </si>
  <si>
    <t>SI/2602/0045</t>
  </si>
  <si>
    <t>GLC06022601</t>
  </si>
  <si>
    <t>HVR08022602</t>
  </si>
  <si>
    <t>N100226AGC0034</t>
  </si>
  <si>
    <t>SGR15022602</t>
  </si>
  <si>
    <t>N170226PSI0156</t>
  </si>
  <si>
    <t>BILLPAY-KSEB-CA12345-FEB2026</t>
  </si>
  <si>
    <t>BP260218KSEB</t>
  </si>
  <si>
    <t>KRT19022601</t>
  </si>
  <si>
    <t>BP260220ACT</t>
  </si>
  <si>
    <t>GST20022601</t>
  </si>
  <si>
    <t>CHQ DEP CLG-MONSOON HOTELS-000934</t>
  </si>
  <si>
    <t>CHQ000934</t>
  </si>
  <si>
    <t>CHQ ISSUED-ROYAL FREIGHT LOG-000435</t>
  </si>
  <si>
    <t>CHQ000435</t>
  </si>
  <si>
    <t>UPI26022601</t>
  </si>
  <si>
    <t>CREDIT INTEREST-SB-FEB2026</t>
  </si>
  <si>
    <t>INT280226</t>
  </si>
  <si>
    <t>UPI-CR-retailbazaar@okaxis-RB03032601</t>
  </si>
  <si>
    <t>UPI26030301</t>
  </si>
  <si>
    <t>SI/2603/0045</t>
  </si>
  <si>
    <t>KRT09032602</t>
  </si>
  <si>
    <t>MP12032601</t>
  </si>
  <si>
    <t>N140326DHT0078</t>
  </si>
  <si>
    <t>HVR17032603</t>
  </si>
  <si>
    <t>BILLPAY-KSEB-CA12345-MAR2026</t>
  </si>
  <si>
    <t>BP260319KSEB</t>
  </si>
  <si>
    <t>BP260320ACT</t>
  </si>
  <si>
    <t>GST20032601</t>
  </si>
  <si>
    <t>CHL21032603</t>
  </si>
  <si>
    <t>N230326PSI0211</t>
  </si>
  <si>
    <t>UPI26032501</t>
  </si>
  <si>
    <t>UPI26032802</t>
  </si>
  <si>
    <t>CREDIT INTEREST-SB-MAR2026</t>
  </si>
  <si>
    <t>INT310326</t>
  </si>
  <si>
    <t>CHG310326</t>
  </si>
  <si>
    <t>HDFC BANK</t>
  </si>
  <si>
    <t>Total Credits</t>
  </si>
  <si>
    <t>Total Debits</t>
  </si>
  <si>
    <t>Current Account Statement</t>
  </si>
  <si>
    <t>Period: 01/01/2026 to 31/03/2026</t>
  </si>
  <si>
    <t>Transaction Detail</t>
  </si>
  <si>
    <t>Withdrawal (₹)</t>
  </si>
  <si>
    <t>Deposit (₹)</t>
  </si>
  <si>
    <t>OPENING BALANCE</t>
  </si>
  <si>
    <t>INST-RENT-RAVI</t>
  </si>
  <si>
    <t>STDG INST-RENT-RAVI MENON-HDFC0000421</t>
  </si>
  <si>
    <t xml:space="preserve">NEFT-CR-HDFC0000421-SPICE GARDEN RES-SGR2601041 </t>
  </si>
  <si>
    <t>HDFCR52601072341</t>
  </si>
  <si>
    <t>NEFT-CR-ICIC0000512-HILL VIEW RES-HVR01102601</t>
  </si>
  <si>
    <t>CHQ DEP CLG-MAHADEV PROVISIONS-000847</t>
  </si>
  <si>
    <t>NEFT-DR-PACKAGING SOL IND-UTIB0001123</t>
  </si>
  <si>
    <t>NEFT-CR-HDFC0000892-COASTAL HOSP-CHL18012601</t>
  </si>
  <si>
    <t>UPI-CR-bluelotus@okhdfcbank-BL2401260 1</t>
  </si>
  <si>
    <t>HDFCR526020311 23</t>
  </si>
  <si>
    <t>NEFT-CR-KKBK0000512-GREEN LEAF CAFE-GLC06022601</t>
  </si>
  <si>
    <t>NEFT-CR-ICIC0000512-HILL VIEW RES-HVR08022602</t>
  </si>
  <si>
    <t>NEFT-DR-ASSAM GROWERS COLL-SBIN0010245</t>
  </si>
  <si>
    <t>NEFT-CR-HDFC0000421-SPICE GARDEN RES-SGR15022602</t>
  </si>
  <si>
    <t>NEFT-CR-UTIB0000887-KAVERI RETAIL-KRT19022601</t>
  </si>
  <si>
    <t>UPI-CR-bluelotus@okhdfcbank-BL2602260 2</t>
  </si>
  <si>
    <t>HDFCR526030512 34</t>
  </si>
  <si>
    <t>NEFT-CR-UTIB0000887-KAVERI RETAIL-KRT09032602</t>
  </si>
  <si>
    <t>NEFT-CR-SBIN0005412-MAHADEV PROVISIONS-MP12032601</t>
  </si>
  <si>
    <t>NEFT-DR-DARJEELING HIGHLAND-UTIB0000332</t>
  </si>
  <si>
    <t>NEFT-CR-ICIC0000512-HILL VIEW RES-HVR17032603</t>
  </si>
  <si>
    <t>NEFT-CR-HDFC0000892-COASTALHOSP-CHL21032603</t>
  </si>
  <si>
    <t>UPI-CR-bluelotus@okhdfcbank-BL2503260 3</t>
  </si>
  <si>
    <t>UPI-CR-greenleafcafe@okicici-GLC2803260 3</t>
  </si>
  <si>
    <t>CLOSING BALANCE</t>
  </si>
  <si>
    <t>Description</t>
  </si>
  <si>
    <t>Zoho Amount</t>
  </si>
  <si>
    <t>Bank Amount</t>
  </si>
  <si>
    <t>Status</t>
  </si>
  <si>
    <t>Notes</t>
  </si>
  <si>
    <t>Spice Garden Restaurants</t>
  </si>
  <si>
    <t xml:space="preserve">Office Rent </t>
  </si>
  <si>
    <t>Nilgiris Tea Estate Pvt Ltd</t>
  </si>
  <si>
    <t>Hill View Resorts Pvt Ltd</t>
  </si>
  <si>
    <t>Matched</t>
  </si>
  <si>
    <t>Mahadev Provisions</t>
  </si>
  <si>
    <t>Packaging Solutions India Pvt Ltd</t>
  </si>
  <si>
    <t>KSEB - Electricity Bill</t>
  </si>
  <si>
    <t>Coastal Hospitality Ltd</t>
  </si>
  <si>
    <t>ACT Fibernet</t>
  </si>
  <si>
    <t>GST Payment</t>
  </si>
  <si>
    <t>Umatched</t>
  </si>
  <si>
    <t>Royal Freight Logistics</t>
  </si>
  <si>
    <t>Missing in Bank</t>
  </si>
  <si>
    <t>Blue Lotus Café</t>
  </si>
  <si>
    <t>Retail Bazaar Chennai</t>
  </si>
  <si>
    <t>CREDIT INTEREST</t>
  </si>
  <si>
    <t>Missing in Zoho</t>
  </si>
  <si>
    <t>Green Leaf Café</t>
  </si>
  <si>
    <t xml:space="preserve">Assam Growers Collective </t>
  </si>
  <si>
    <t>Mismatched amount</t>
  </si>
  <si>
    <t>Kaveri Retail Traders</t>
  </si>
  <si>
    <t xml:space="preserve">Monsoon Hotels Pvt Ltd </t>
  </si>
  <si>
    <t>Office Rent</t>
  </si>
  <si>
    <t>Darjeeling Highland Tea</t>
  </si>
  <si>
    <t>Difference</t>
  </si>
  <si>
    <t>Classification</t>
  </si>
  <si>
    <t>Root Cause</t>
  </si>
  <si>
    <t>S.no</t>
  </si>
  <si>
    <t>Type-D</t>
  </si>
  <si>
    <t>Wrong Amount</t>
  </si>
  <si>
    <t>Duplicated Entry</t>
  </si>
  <si>
    <t>Type-A</t>
  </si>
  <si>
    <t>Type-C</t>
  </si>
  <si>
    <t>Record charges</t>
  </si>
  <si>
    <t xml:space="preserve">Reverse duplicate expense </t>
  </si>
  <si>
    <t>Investigate prior year reconciliation</t>
  </si>
  <si>
    <t>Duplicate entry in Zoho</t>
  </si>
  <si>
    <t xml:space="preserve">Record rent payment </t>
  </si>
  <si>
    <t xml:space="preserve">Bank credit not recorded </t>
  </si>
  <si>
    <t xml:space="preserve">Bank debit not recorded </t>
  </si>
  <si>
    <t xml:space="preserve">Incorrect amount in Zoho </t>
  </si>
  <si>
    <t xml:space="preserve">Adjust vendor payment </t>
  </si>
  <si>
    <t>Bank credit not recorded</t>
  </si>
  <si>
    <t>Record interest income</t>
  </si>
  <si>
    <t xml:space="preserve">Cheque not yet presented </t>
  </si>
  <si>
    <t xml:space="preserve">Bank Charges Mar </t>
  </si>
  <si>
    <t>Standing instruction omitted in Zoho</t>
  </si>
  <si>
    <t>Bank credit is not recorded</t>
  </si>
  <si>
    <t xml:space="preserve">Record interest income </t>
  </si>
  <si>
    <t xml:space="preserve">Bank Charges </t>
  </si>
  <si>
    <t>RENT RAVI</t>
  </si>
  <si>
    <t xml:space="preserve">No correction needed </t>
  </si>
  <si>
    <t>Cheque deposited earlier in books but cleared by bank on 14 Jan</t>
  </si>
  <si>
    <t>No correction required</t>
  </si>
  <si>
    <t xml:space="preserve">Monsoon Hotels </t>
  </si>
  <si>
    <t>Deposit recorded in Zoho before bank clearing date</t>
  </si>
  <si>
    <t>Type C</t>
  </si>
  <si>
    <t>Bank Reconciliation Statement (BRS)</t>
  </si>
  <si>
    <t>Bank Reconciliation Statement as on 31/03/2026</t>
  </si>
  <si>
    <t>Particulars</t>
  </si>
  <si>
    <t>Amount (₹)</t>
  </si>
  <si>
    <t>Closing Balance as per Zoho Books</t>
  </si>
  <si>
    <t>Less: Duplicate ACT Fibernet entry in Zoho</t>
  </si>
  <si>
    <t>Add: Bank interest credited but not recorded (Jan)</t>
  </si>
  <si>
    <t>Less: Bank charges not recorded (Jan)</t>
  </si>
  <si>
    <t>Less: Office rent paid but omitted in Zoho (Feb)</t>
  </si>
  <si>
    <t>Less: Under-recorded Packaging Solutions payment</t>
  </si>
  <si>
    <t>Add: Bank interest credited but not recorded (Feb)</t>
  </si>
  <si>
    <t>Add: Bank interest credited but not recorded (Mar)</t>
  </si>
  <si>
    <t>Less: Bank charges not recorded (Mar)</t>
  </si>
  <si>
    <t>Add: Cheque issued but not yet presented (Darjeeling Highland Tea)</t>
  </si>
  <si>
    <t>Adjusted Balance</t>
  </si>
  <si>
    <t>Add: Opening balance difference (prior period issue)</t>
  </si>
  <si>
    <t>Balance as per HDFC Bank Statement</t>
  </si>
  <si>
    <t>247,973.00 Dr</t>
  </si>
  <si>
    <t>255,823.50 Dr</t>
  </si>
  <si>
    <t>240,000.00 DR</t>
  </si>
  <si>
    <t>325,400.00 DR</t>
  </si>
  <si>
    <t>280,400.00 DR</t>
  </si>
  <si>
    <t>163,900.00 DR</t>
  </si>
  <si>
    <t>206,500.00 DR</t>
  </si>
  <si>
    <t>174,100.00 DR</t>
  </si>
  <si>
    <t>165,860.00 DR</t>
  </si>
  <si>
    <t>294,610.00 DR</t>
  </si>
  <si>
    <t>290,110.00 DR</t>
  </si>
  <si>
    <t>242,610.00 DR</t>
  </si>
  <si>
    <t>238,110.00 DR</t>
  </si>
  <si>
    <t>209,410.00 DR</t>
  </si>
  <si>
    <t>228,810.00 DR</t>
  </si>
  <si>
    <t>247,710.00 DR</t>
  </si>
  <si>
    <t>150,710.00 DR</t>
  </si>
  <si>
    <t>103,010.00 DR</t>
  </si>
  <si>
    <t>145,630.00 DR</t>
  </si>
  <si>
    <t>141,130.00 DR</t>
  </si>
  <si>
    <t>303,630.00 DR</t>
  </si>
  <si>
    <t>272,430.00 DR</t>
  </si>
  <si>
    <t>293,730.00 DR</t>
  </si>
  <si>
    <t>318,380.00 DR</t>
  </si>
  <si>
    <t>122,580.00 DR</t>
  </si>
  <si>
    <t>170,080.00 DR</t>
  </si>
  <si>
    <t>228,480.00 DR</t>
  </si>
  <si>
    <t>106,080.00 DR</t>
  </si>
  <si>
    <t>184,980.00 DR</t>
  </si>
  <si>
    <t>176,060.00 DR</t>
  </si>
  <si>
    <t>171,560.00 DR</t>
  </si>
  <si>
    <t>122,960.00 DR</t>
  </si>
  <si>
    <t>268,160.00 DR</t>
  </si>
  <si>
    <t>233,560.00 DR</t>
  </si>
  <si>
    <t>257,260.00 DR</t>
  </si>
  <si>
    <t>234,760.00 DR</t>
  </si>
  <si>
    <t>276,610.00 DR</t>
  </si>
  <si>
    <t>95,400.00   DR</t>
  </si>
  <si>
    <t>42,710.00   DR</t>
  </si>
  <si>
    <t>77,910.00   DR</t>
  </si>
  <si>
    <t>10,210.00   DR</t>
  </si>
  <si>
    <t>66,210.00   DR</t>
  </si>
  <si>
    <t>57,030.00   DR</t>
  </si>
  <si>
    <t>88,330.00   DR</t>
  </si>
  <si>
    <t>77,580.00   DR</t>
  </si>
  <si>
    <t>Transaction Mode</t>
  </si>
  <si>
    <t>TOTAL DEBITS &amp; CREDITS  (01/01/2026 - 31/03/2026)</t>
  </si>
  <si>
    <r>
      <t>Balance(</t>
    </r>
    <r>
      <rPr>
        <b/>
        <sz val="14"/>
        <color theme="1" tint="4.9989318521683403E-2"/>
        <rFont val="Calibri"/>
        <family val="2"/>
      </rPr>
      <t>₹</t>
    </r>
    <r>
      <rPr>
        <b/>
        <sz val="14"/>
        <color theme="1" tint="4.9989318521683403E-2"/>
        <rFont val="Calibri"/>
        <family val="2"/>
        <scheme val="minor"/>
      </rPr>
      <t>)</t>
    </r>
  </si>
  <si>
    <t>Classification Codes</t>
  </si>
  <si>
    <t>Their meaning</t>
  </si>
  <si>
    <r>
      <t>Type A</t>
    </r>
    <r>
      <rPr>
        <sz val="11"/>
        <color theme="1"/>
        <rFont val="Calibri"/>
        <family val="2"/>
        <scheme val="minor"/>
      </rPr>
      <t> </t>
    </r>
  </si>
  <si>
    <t>Type B</t>
  </si>
  <si>
    <t>Bank error (e.g., incorrect debit/credit, duplicate processing, or unauthorized charge)</t>
  </si>
  <si>
    <t>Timing difference (e.g., cheque issued but not presented, deposit in transit) – no correction required</t>
  </si>
  <si>
    <t>Type D</t>
  </si>
  <si>
    <t>Prior-period error or opening balance discrepancy requiring investigation</t>
  </si>
  <si>
    <t>Correctly recorded</t>
  </si>
  <si>
    <t>Record Interest income</t>
  </si>
  <si>
    <t>Recommended Action</t>
  </si>
  <si>
    <t>Note: Opening balance difference relates to a prior-period discrepancy and requires separate investigation.</t>
  </si>
  <si>
    <t>Metric</t>
  </si>
  <si>
    <t>Value</t>
  </si>
  <si>
    <t>Total Transactions</t>
  </si>
  <si>
    <t>Matched Transactions</t>
  </si>
  <si>
    <t>Unmatched Transactions</t>
  </si>
  <si>
    <t>Total Adjustments</t>
  </si>
  <si>
    <t>Timing Differences</t>
  </si>
  <si>
    <t>Book Errors</t>
  </si>
  <si>
    <t>Error in books (missing entry, wrong amount, duplicate entry, incorrect date)</t>
  </si>
  <si>
    <t>Type</t>
  </si>
  <si>
    <t>Count</t>
  </si>
  <si>
    <t>Type A</t>
  </si>
  <si>
    <t>Month</t>
  </si>
  <si>
    <t>January</t>
  </si>
  <si>
    <t xml:space="preserve">February     </t>
  </si>
  <si>
    <t>March</t>
  </si>
  <si>
    <t>Distribution of discrepancies identified during bank reconciliation.</t>
  </si>
  <si>
    <t>Number of discrepancies identified in each month.</t>
  </si>
  <si>
    <t>Pie Chart data</t>
  </si>
  <si>
    <t>Column Chart data</t>
  </si>
  <si>
    <t xml:space="preserve"> Bank Reconciliation Dashboard 
Arka Tea Traders Pvt Ltd 
January–March 2026</t>
  </si>
  <si>
    <t>1. Dashboard Summary Boxes</t>
  </si>
  <si>
    <t>2. Types of Discrepancies</t>
  </si>
  <si>
    <t>3. Discrepancies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</si>
</sst>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&quot;₹&quot;\ 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4"/>
      <color theme="1" tint="4.9989318521683403E-2"/>
      <name val="Calibri"/>
      <family val="2"/>
    </font>
    <font>
      <b/>
      <sz val="16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1"/>
      <color theme="1" tint="4.9989318521683403E-2"/>
      <name val="Segoe U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44" fontId="0" fillId="0" borderId="0" xfId="0" applyNumberFormat="1"/>
    <xf numFmtId="0" fontId="0" fillId="0" borderId="1" xfId="0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5" fillId="0" borderId="1" xfId="0" applyFont="1" applyBorder="1" applyAlignment="1">
      <alignment vertical="center" wrapText="1"/>
    </xf>
    <xf numFmtId="44" fontId="0" fillId="0" borderId="1" xfId="0" applyNumberFormat="1" applyBorder="1"/>
    <xf numFmtId="14" fontId="0" fillId="0" borderId="1" xfId="0" applyNumberFormat="1" applyBorder="1"/>
    <xf numFmtId="0" fontId="0" fillId="0" borderId="7" xfId="0" applyBorder="1" applyAlignment="1">
      <alignment wrapText="1"/>
    </xf>
    <xf numFmtId="0" fontId="0" fillId="0" borderId="7" xfId="0" applyBorder="1"/>
    <xf numFmtId="2" fontId="0" fillId="0" borderId="12" xfId="0" applyNumberFormat="1" applyBorder="1"/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8" xfId="0" applyNumberFormat="1" applyBorder="1"/>
    <xf numFmtId="164" fontId="10" fillId="2" borderId="10" xfId="0" applyNumberFormat="1" applyFont="1" applyFill="1" applyBorder="1"/>
    <xf numFmtId="164" fontId="10" fillId="2" borderId="11" xfId="0" applyNumberFormat="1" applyFont="1" applyFill="1" applyBorder="1" applyAlignment="1">
      <alignment horizontal="right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4" fontId="0" fillId="0" borderId="1" xfId="0" applyNumberFormat="1" applyBorder="1"/>
    <xf numFmtId="0" fontId="0" fillId="0" borderId="17" xfId="0" applyBorder="1"/>
    <xf numFmtId="0" fontId="0" fillId="0" borderId="19" xfId="0" applyBorder="1"/>
    <xf numFmtId="0" fontId="14" fillId="4" borderId="20" xfId="0" applyFont="1" applyFill="1" applyBorder="1"/>
    <xf numFmtId="4" fontId="0" fillId="0" borderId="18" xfId="0" applyNumberFormat="1" applyBorder="1"/>
    <xf numFmtId="0" fontId="0" fillId="0" borderId="16" xfId="0" applyBorder="1"/>
    <xf numFmtId="0" fontId="14" fillId="4" borderId="21" xfId="0" applyFont="1" applyFill="1" applyBorder="1"/>
    <xf numFmtId="4" fontId="0" fillId="0" borderId="16" xfId="0" applyNumberFormat="1" applyBorder="1"/>
    <xf numFmtId="0" fontId="11" fillId="4" borderId="22" xfId="0" applyFont="1" applyFill="1" applyBorder="1"/>
    <xf numFmtId="0" fontId="0" fillId="0" borderId="18" xfId="0" applyBorder="1"/>
    <xf numFmtId="0" fontId="14" fillId="4" borderId="23" xfId="0" applyFont="1" applyFill="1" applyBorder="1"/>
    <xf numFmtId="14" fontId="0" fillId="0" borderId="18" xfId="0" applyNumberFormat="1" applyBorder="1"/>
    <xf numFmtId="0" fontId="0" fillId="0" borderId="24" xfId="0" applyBorder="1"/>
    <xf numFmtId="0" fontId="14" fillId="4" borderId="25" xfId="0" applyFont="1" applyFill="1" applyBorder="1"/>
    <xf numFmtId="0" fontId="0" fillId="0" borderId="27" xfId="0" applyBorder="1"/>
    <xf numFmtId="0" fontId="9" fillId="3" borderId="26" xfId="0" applyFont="1" applyFill="1" applyBorder="1"/>
    <xf numFmtId="0" fontId="9" fillId="3" borderId="28" xfId="0" applyFont="1" applyFill="1" applyBorder="1"/>
    <xf numFmtId="0" fontId="3" fillId="0" borderId="19" xfId="0" applyFont="1" applyBorder="1"/>
    <xf numFmtId="2" fontId="9" fillId="3" borderId="28" xfId="0" applyNumberFormat="1" applyFont="1" applyFill="1" applyBorder="1"/>
    <xf numFmtId="164" fontId="0" fillId="0" borderId="18" xfId="0" applyNumberFormat="1" applyBorder="1" applyAlignment="1">
      <alignment horizontal="right"/>
    </xf>
    <xf numFmtId="164" fontId="0" fillId="0" borderId="16" xfId="0" applyNumberFormat="1" applyBorder="1"/>
    <xf numFmtId="0" fontId="9" fillId="3" borderId="29" xfId="0" applyFont="1" applyFill="1" applyBorder="1"/>
    <xf numFmtId="0" fontId="0" fillId="0" borderId="1" xfId="0" applyBorder="1" applyAlignment="1">
      <alignment wrapText="1"/>
    </xf>
    <xf numFmtId="44" fontId="0" fillId="0" borderId="1" xfId="0" applyNumberFormat="1" applyBorder="1" applyAlignment="1">
      <alignment vertical="top"/>
    </xf>
    <xf numFmtId="44" fontId="0" fillId="0" borderId="1" xfId="0" applyNumberFormat="1" applyBorder="1" applyAlignment="1">
      <alignment horizontal="center"/>
    </xf>
    <xf numFmtId="14" fontId="0" fillId="0" borderId="16" xfId="0" applyNumberFormat="1" applyBorder="1"/>
    <xf numFmtId="0" fontId="0" fillId="0" borderId="16" xfId="0" applyBorder="1" applyAlignment="1">
      <alignment wrapText="1"/>
    </xf>
    <xf numFmtId="44" fontId="0" fillId="0" borderId="16" xfId="0" applyNumberFormat="1" applyBorder="1"/>
    <xf numFmtId="0" fontId="7" fillId="0" borderId="6" xfId="0" applyFont="1" applyBorder="1"/>
    <xf numFmtId="0" fontId="7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 wrapText="1"/>
    </xf>
    <xf numFmtId="0" fontId="7" fillId="3" borderId="17" xfId="0" applyFont="1" applyFill="1" applyBorder="1" applyAlignment="1">
      <alignment vertical="center"/>
    </xf>
    <xf numFmtId="0" fontId="8" fillId="0" borderId="27" xfId="0" applyFont="1" applyBorder="1"/>
    <xf numFmtId="44" fontId="0" fillId="0" borderId="17" xfId="0" applyNumberFormat="1" applyBorder="1"/>
    <xf numFmtId="44" fontId="0" fillId="3" borderId="25" xfId="0" applyNumberFormat="1" applyFill="1" applyBorder="1"/>
    <xf numFmtId="0" fontId="9" fillId="3" borderId="25" xfId="0" applyFont="1" applyFill="1" applyBorder="1"/>
    <xf numFmtId="14" fontId="0" fillId="0" borderId="30" xfId="0" applyNumberFormat="1" applyBorder="1"/>
    <xf numFmtId="14" fontId="0" fillId="0" borderId="3" xfId="0" applyNumberFormat="1" applyBorder="1"/>
    <xf numFmtId="14" fontId="0" fillId="0" borderId="31" xfId="0" applyNumberFormat="1" applyBorder="1"/>
    <xf numFmtId="0" fontId="0" fillId="0" borderId="32" xfId="0" applyBorder="1"/>
    <xf numFmtId="164" fontId="0" fillId="0" borderId="32" xfId="0" applyNumberFormat="1" applyBorder="1"/>
    <xf numFmtId="164" fontId="0" fillId="0" borderId="32" xfId="0" applyNumberFormat="1" applyBorder="1" applyAlignment="1">
      <alignment horizontal="right"/>
    </xf>
    <xf numFmtId="0" fontId="14" fillId="4" borderId="33" xfId="0" applyFont="1" applyFill="1" applyBorder="1"/>
    <xf numFmtId="14" fontId="0" fillId="0" borderId="3" xfId="0" applyNumberFormat="1" applyBorder="1" applyAlignment="1">
      <alignment vertical="center"/>
    </xf>
    <xf numFmtId="14" fontId="1" fillId="0" borderId="31" xfId="0" applyNumberFormat="1" applyFont="1" applyBorder="1" applyAlignment="1">
      <alignment vertical="center"/>
    </xf>
    <xf numFmtId="14" fontId="1" fillId="0" borderId="32" xfId="0" applyNumberFormat="1" applyFont="1" applyBorder="1"/>
    <xf numFmtId="0" fontId="1" fillId="0" borderId="32" xfId="0" applyFont="1" applyBorder="1"/>
    <xf numFmtId="4" fontId="1" fillId="0" borderId="32" xfId="0" applyNumberFormat="1" applyFont="1" applyBorder="1"/>
    <xf numFmtId="0" fontId="14" fillId="4" borderId="34" xfId="0" applyFont="1" applyFill="1" applyBorder="1"/>
    <xf numFmtId="0" fontId="14" fillId="4" borderId="35" xfId="0" applyFont="1" applyFill="1" applyBorder="1"/>
    <xf numFmtId="0" fontId="14" fillId="4" borderId="29" xfId="0" applyFont="1" applyFill="1" applyBorder="1"/>
    <xf numFmtId="165" fontId="0" fillId="0" borderId="36" xfId="0" applyNumberFormat="1" applyBorder="1"/>
    <xf numFmtId="165" fontId="0" fillId="0" borderId="23" xfId="0" applyNumberFormat="1" applyBorder="1"/>
    <xf numFmtId="14" fontId="14" fillId="4" borderId="29" xfId="0" applyNumberFormat="1" applyFont="1" applyFill="1" applyBorder="1"/>
    <xf numFmtId="0" fontId="14" fillId="4" borderId="29" xfId="0" applyFont="1" applyFill="1" applyBorder="1" applyAlignment="1">
      <alignment wrapText="1"/>
    </xf>
    <xf numFmtId="44" fontId="14" fillId="4" borderId="29" xfId="0" applyNumberFormat="1" applyFont="1" applyFill="1" applyBorder="1"/>
    <xf numFmtId="14" fontId="0" fillId="0" borderId="32" xfId="0" applyNumberFormat="1" applyBorder="1"/>
    <xf numFmtId="44" fontId="0" fillId="0" borderId="32" xfId="0" applyNumberFormat="1" applyBorder="1"/>
    <xf numFmtId="0" fontId="15" fillId="4" borderId="29" xfId="0" applyFont="1" applyFill="1" applyBorder="1"/>
    <xf numFmtId="0" fontId="1" fillId="0" borderId="0" xfId="0" applyFont="1" applyAlignment="1">
      <alignment vertical="center"/>
    </xf>
    <xf numFmtId="0" fontId="13" fillId="4" borderId="29" xfId="0" applyFont="1" applyFill="1" applyBorder="1"/>
    <xf numFmtId="44" fontId="13" fillId="4" borderId="29" xfId="0" applyNumberFormat="1" applyFont="1" applyFill="1" applyBorder="1"/>
    <xf numFmtId="0" fontId="5" fillId="0" borderId="32" xfId="0" applyFont="1" applyBorder="1" applyAlignment="1">
      <alignment vertical="center" wrapText="1"/>
    </xf>
    <xf numFmtId="2" fontId="6" fillId="0" borderId="1" xfId="0" applyNumberFormat="1" applyFont="1" applyBorder="1" applyAlignment="1">
      <alignment vertical="center" wrapText="1"/>
    </xf>
    <xf numFmtId="2" fontId="5" fillId="0" borderId="1" xfId="0" applyNumberFormat="1" applyFont="1" applyBorder="1" applyAlignment="1">
      <alignment vertical="center" wrapText="1"/>
    </xf>
    <xf numFmtId="2" fontId="5" fillId="0" borderId="32" xfId="0" applyNumberFormat="1" applyFont="1" applyBorder="1" applyAlignment="1">
      <alignment vertical="center" wrapText="1"/>
    </xf>
    <xf numFmtId="2" fontId="6" fillId="0" borderId="16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/>
    <xf numFmtId="0" fontId="1" fillId="0" borderId="18" xfId="0" applyFont="1" applyBorder="1"/>
    <xf numFmtId="0" fontId="1" fillId="0" borderId="0" xfId="0" applyFont="1"/>
    <xf numFmtId="0" fontId="17" fillId="0" borderId="0" xfId="0" applyFont="1"/>
    <xf numFmtId="0" fontId="3" fillId="0" borderId="0" xfId="0" applyFont="1" applyAlignment="1">
      <alignment horizontal="center" vertical="center" wrapText="1"/>
    </xf>
    <xf numFmtId="165" fontId="0" fillId="0" borderId="0" xfId="0" applyNumberFormat="1" applyAlignment="1">
      <alignment vertical="center" wrapText="1"/>
    </xf>
    <xf numFmtId="17" fontId="0" fillId="0" borderId="0" xfId="0" applyNumberFormat="1"/>
    <xf numFmtId="0" fontId="4" fillId="0" borderId="0" xfId="0" applyFont="1" applyAlignment="1">
      <alignment horizontal="left" vertical="center" wrapText="1"/>
    </xf>
    <xf numFmtId="0" fontId="11" fillId="5" borderId="1" xfId="0" applyFont="1" applyFill="1" applyBorder="1"/>
    <xf numFmtId="164" fontId="10" fillId="5" borderId="9" xfId="0" applyNumberFormat="1" applyFont="1" applyFill="1" applyBorder="1"/>
    <xf numFmtId="164" fontId="10" fillId="5" borderId="14" xfId="0" applyNumberFormat="1" applyFont="1" applyFill="1" applyBorder="1"/>
    <xf numFmtId="164" fontId="10" fillId="5" borderId="13" xfId="0" applyNumberFormat="1" applyFont="1" applyFill="1" applyBorder="1" applyAlignment="1">
      <alignment horizontal="right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10" fillId="5" borderId="2" xfId="0" applyFont="1" applyFill="1" applyBorder="1"/>
    <xf numFmtId="0" fontId="10" fillId="5" borderId="4" xfId="0" applyFont="1" applyFill="1" applyBorder="1"/>
    <xf numFmtId="0" fontId="10" fillId="5" borderId="3" xfId="0" applyFont="1" applyFill="1" applyBorder="1"/>
    <xf numFmtId="0" fontId="10" fillId="2" borderId="2" xfId="0" applyFont="1" applyFill="1" applyBorder="1"/>
    <xf numFmtId="0" fontId="10" fillId="2" borderId="4" xfId="0" applyFont="1" applyFill="1" applyBorder="1"/>
    <xf numFmtId="0" fontId="10" fillId="2" borderId="37" xfId="0" applyFont="1" applyFill="1" applyBorder="1"/>
    <xf numFmtId="0" fontId="11" fillId="2" borderId="2" xfId="0" applyFont="1" applyFill="1" applyBorder="1"/>
    <xf numFmtId="0" fontId="10" fillId="2" borderId="3" xfId="0" applyFont="1" applyFill="1" applyBorder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6" xfId="0" applyFont="1" applyBorder="1"/>
    <xf numFmtId="0" fontId="2" fillId="0" borderId="5" xfId="0" applyFont="1" applyBorder="1"/>
    <xf numFmtId="0" fontId="11" fillId="5" borderId="2" xfId="0" applyFont="1" applyFill="1" applyBorder="1"/>
    <xf numFmtId="0" fontId="3" fillId="0" borderId="0" xfId="0" applyFont="1"/>
    <xf numFmtId="0" fontId="3" fillId="0" borderId="6" xfId="0" applyFont="1" applyBorder="1"/>
    <xf numFmtId="0" fontId="2" fillId="0" borderId="15" xfId="0" applyFont="1" applyBorder="1"/>
    <xf numFmtId="0" fontId="5" fillId="0" borderId="0" xfId="0" applyFont="1"/>
  </cellXfs>
  <cellStyles count="1">
    <cellStyle name="Normal" xfId="0" builtinId="0"/>
  </cellStyles>
  <dxfs count="53">
    <dxf>
      <font>
        <strike val="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ck">
          <color indexed="64"/>
        </top>
        <bottom style="thin">
          <color indexed="64"/>
        </bottom>
      </border>
    </dxf>
    <dxf>
      <border outline="0">
        <bottom style="thick">
          <color indexed="64"/>
        </bottom>
      </border>
    </dxf>
    <dxf>
      <alignment horizontal="general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 &quot;₹&quot;\ * #,##0.00_ ;_ &quot;₹&quot;\ * \-#,##0.00_ ;_ &quot;₹&quot;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 &quot;₹&quot;\ * #,##0.00_ ;_ &quot;₹&quot;\ * \-#,##0.00_ ;_ &quot;₹&quot;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 &quot;₹&quot;\ * #,##0.00_ ;_ &quot;₹&quot;\ * \-#,##0.00_ ;_ &quot;₹&quot;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ck">
          <color indexed="64"/>
        </top>
        <bottom style="thin">
          <color indexed="64"/>
        </bottom>
      </border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 &quot;₹&quot;\ * #,##0.00_ ;_ &quot;₹&quot;\ * \-#,##0.00_ ;_ &quot;₹&quot;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 &quot;₹&quot;\ * #,##0.00_ ;_ &quot;₹&quot;\ * \-#,##0.00_ ;_ &quot;₹&quot;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ck">
          <color indexed="64"/>
        </top>
        <bottom style="thin">
          <color indexed="64"/>
        </bottom>
      </border>
    </dxf>
    <dxf>
      <border outline="0">
        <bottom style="thick">
          <color indexed="64"/>
        </bottom>
      </border>
    </dxf>
    <dxf>
      <numFmt numFmtId="165" formatCode="&quot;₹&quot;\ #,##0.0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65" formatCode="&quot;₹&quot;\ #,##0.0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65" formatCode="&quot;₹&quot;\ #,##0.0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65" formatCode="&quot;₹&quot;\ #,##0.00"/>
      <border diagonalUp="0" diagonalDown="0">
        <left/>
        <right style="thin">
          <color indexed="64"/>
        </right>
        <top style="thick">
          <color indexed="64"/>
        </top>
        <bottom/>
        <vertical/>
        <horizontal/>
      </border>
    </dxf>
    <dxf>
      <border outline="0">
        <left style="thin">
          <color indexed="64"/>
        </left>
        <top style="thick">
          <color indexed="64"/>
        </top>
        <bottom style="thin">
          <color indexed="64"/>
        </bottom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 [$₹-4009]\ * #,##0.00_ ;_ [$₹-4009]\ * \-#,##0.00_ ;_ [$₹-4009]\ * &quot;-&quot;??_ ;_ @_ 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 [$₹-4009]\ * #,##0.00_ ;_ [$₹-4009]\ * \-#,##0.0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 [$₹-4009]\ * #,##0.00_ ;_ [$₹-4009]\ * \-#,##0.0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Types of Discrepancies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A0F-428A-B181-1EEDC98B400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0A0F-428A-B181-1EEDC98B400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A0F-428A-B181-1EEDC98B400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0A0F-428A-B181-1EEDC98B40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Data'!$A$4:$A$7</c:f>
              <c:strCache>
                <c:ptCount val="4"/>
                <c:pt idx="0">
                  <c:v>Type A</c:v>
                </c:pt>
                <c:pt idx="1">
                  <c:v>Type B</c:v>
                </c:pt>
                <c:pt idx="2">
                  <c:v>Type C</c:v>
                </c:pt>
                <c:pt idx="3">
                  <c:v>Type D</c:v>
                </c:pt>
              </c:strCache>
            </c:strRef>
          </c:cat>
          <c:val>
            <c:numRef>
              <c:f>'Chart Data'!$B$4:$B$7</c:f>
              <c:numCache>
                <c:formatCode>General</c:formatCode>
                <c:ptCount val="4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F-428A-B181-1EEDC98B400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Discrepancies by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Data'!$A$13:$A$15</c:f>
              <c:strCache>
                <c:ptCount val="3"/>
                <c:pt idx="0">
                  <c:v>January</c:v>
                </c:pt>
                <c:pt idx="1">
                  <c:v>February     </c:v>
                </c:pt>
                <c:pt idx="2">
                  <c:v>March</c:v>
                </c:pt>
              </c:strCache>
            </c:strRef>
          </c:cat>
          <c:val>
            <c:numRef>
              <c:f>'Chart Data'!$B$13:$B$15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A-48D6-A148-02ECD7066B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46399008"/>
        <c:axId val="1120101168"/>
      </c:barChart>
      <c:catAx>
        <c:axId val="84639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101168"/>
        <c:crosses val="autoZero"/>
        <c:auto val="1"/>
        <c:lblAlgn val="ctr"/>
        <c:lblOffset val="100"/>
        <c:noMultiLvlLbl val="0"/>
      </c:catAx>
      <c:valAx>
        <c:axId val="11201011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4639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21</xdr:row>
      <xdr:rowOff>12700</xdr:rowOff>
    </xdr:from>
    <xdr:to>
      <xdr:col>6</xdr:col>
      <xdr:colOff>609599</xdr:colOff>
      <xdr:row>39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EAF9B1A-83F7-1ED2-AFC5-7335B0506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</xdr:colOff>
      <xdr:row>44</xdr:row>
      <xdr:rowOff>12700</xdr:rowOff>
    </xdr:from>
    <xdr:to>
      <xdr:col>6</xdr:col>
      <xdr:colOff>596900</xdr:colOff>
      <xdr:row>58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E7FB327-E84C-3932-0A3E-896802909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EE6891-27CD-4BCE-9770-658A02931E87}" name="Table5" displayName="Table5" ref="A10:B16" totalsRowShown="0" headerRowDxfId="52">
  <autoFilter ref="A10:B16" xr:uid="{0BEE6891-27CD-4BCE-9770-658A02931E87}"/>
  <tableColumns count="2">
    <tableColumn id="1" xr3:uid="{A281C98A-FFEC-469C-AC48-F3AFF7B05971}" name="Metric"/>
    <tableColumn id="2" xr3:uid="{8DC83421-9165-498A-86A5-8887F2B14125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08E954-230F-4827-A742-C3E0FC53BE31}" name="Table6" displayName="Table6" ref="A3:B7" totalsRowShown="0">
  <autoFilter ref="A3:B7" xr:uid="{3608E954-230F-4827-A742-C3E0FC53BE31}"/>
  <tableColumns count="2">
    <tableColumn id="1" xr3:uid="{2C3DB1C5-D914-4D05-BB3D-201BFFC79292}" name="Type"/>
    <tableColumn id="2" xr3:uid="{AEFDA9EC-6925-4968-A0DE-4851D6607F91}" name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5A543A2-959A-40D3-B984-F5852E5F27FB}" name="Table10" displayName="Table10" ref="A12:B15" totalsRowShown="0">
  <autoFilter ref="A12:B15" xr:uid="{95A543A2-959A-40D3-B984-F5852E5F27FB}"/>
  <tableColumns count="2">
    <tableColumn id="1" xr3:uid="{28F9D5AC-CF15-4EFF-927D-30DEBCA205B3}" name="Month"/>
    <tableColumn id="2" xr3:uid="{DFA22B51-C1C5-4C2B-AB1B-549F14264EF9}" name="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FD4903-7A6D-43F1-B975-34D4958B3288}" name="Table1" displayName="Table1" ref="A7:J50" totalsRowShown="0" headerRowDxfId="51" tableBorderDxfId="50">
  <autoFilter ref="A7:J50" xr:uid="{FEFD4903-7A6D-43F1-B975-34D4958B3288}"/>
  <tableColumns count="10">
    <tableColumn id="1" xr3:uid="{6A1F30F6-51E2-4758-AE06-D8796D6318D4}" name="Date" dataDxfId="49"/>
    <tableColumn id="2" xr3:uid="{A1C3EB64-8DDD-404A-8186-795D4115F73D}" name="Account" dataDxfId="48"/>
    <tableColumn id="3" xr3:uid="{77E45C25-395A-4A17-8C46-FF976AFA1701}" name="Transaction Details" dataDxfId="47"/>
    <tableColumn id="4" xr3:uid="{B4FF72DC-3A3C-4BA5-9502-2C89DF61CA5E}" name="Transaction Type" dataDxfId="46"/>
    <tableColumn id="5" xr3:uid="{4DAB210B-117C-435B-813C-21C2F827F302}" name="Transaction Mode" dataDxfId="45">
      <calculatedColumnFormula>IF(ISNUMBER(SEARCH("NEFT",C8)),"NEFT",IF(ISNUMBER(SEARCH("RTGS",C8)),"RTGS",IF(ISNUMBER(SEARCH("UPI",C8)),"UPI",IF(ISNUMBER(SEARCH("Cheque",C8)),"Cheque",IF(ISNUMBER(SEARCH("Journal",C8)),"Journal","Other")))))</calculatedColumnFormula>
    </tableColumn>
    <tableColumn id="6" xr3:uid="{C00A2AA1-99C1-447A-96DD-B570164B4DDD}" name="Transaction#" dataDxfId="44"/>
    <tableColumn id="7" xr3:uid="{6F1AEBE2-2E3E-4F51-8E64-1CDFE99B7F6A}" name="Reference#" dataDxfId="43"/>
    <tableColumn id="8" xr3:uid="{43ADAEA6-1889-416B-86F5-5C8A12349E7E}" name="Debit" dataDxfId="42"/>
    <tableColumn id="9" xr3:uid="{4F8A2B6D-3A01-4770-8011-E9FD9C313BED}" name="Credit" dataDxfId="41"/>
    <tableColumn id="10" xr3:uid="{1B88DE41-6032-4D2A-94FC-62016FDE4918}" name="Balance(₹)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062D27-DA80-496F-A203-71102BC4C697}" name="Table2" displayName="Table2" ref="A10:G58" totalsRowShown="0" headerRowDxfId="39" tableBorderDxfId="38">
  <autoFilter ref="A10:G58" xr:uid="{59062D27-DA80-496F-A203-71102BC4C697}"/>
  <tableColumns count="7">
    <tableColumn id="1" xr3:uid="{D9B90134-12C3-43B0-A88C-DDC39964CD9B}" name="Date" dataDxfId="37"/>
    <tableColumn id="2" xr3:uid="{76087090-D23B-483D-9A6C-177AC6C5F59A}" name="Value Date" dataDxfId="36"/>
    <tableColumn id="3" xr3:uid="{1808AA05-98A1-4758-8083-9417CF9987CB}" name="Narration" dataDxfId="35"/>
    <tableColumn id="4" xr3:uid="{376160BD-AECA-4388-B954-D3F2FD776318}" name="Ref/Chq No." dataDxfId="34"/>
    <tableColumn id="5" xr3:uid="{E56C9729-C891-4648-B1CA-29C9C169EDA0}" name="Withdrawal (₹)" dataDxfId="33"/>
    <tableColumn id="6" xr3:uid="{6CC2BCBB-82FF-4BAC-969E-2B9E10CF9172}" name="Deposit (₹)" dataDxfId="32"/>
    <tableColumn id="7" xr3:uid="{59C6F651-CB72-4C6D-B89F-DA103AD4BC45}" name="Balance (₹)" dataDxfId="3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A675A9-F93B-4326-9FE6-C28CDC935308}" name="Table3" displayName="Table3" ref="A6:D7" totalsRowShown="0" tableBorderDxfId="30">
  <autoFilter ref="A6:D7" xr:uid="{E4A675A9-F93B-4326-9FE6-C28CDC935308}"/>
  <tableColumns count="4">
    <tableColumn id="1" xr3:uid="{0242CA78-A461-4680-86B6-C702BA84F1D0}" name="Opening Balance" dataDxfId="29">
      <calculatedColumnFormula>SUM(G11)</calculatedColumnFormula>
    </tableColumn>
    <tableColumn id="2" xr3:uid="{4CF77480-FD0F-4395-8ACF-F6370C621D5E}" name="Total Credits" dataDxfId="28">
      <calculatedColumnFormula>SUM(F11,F12,F13,F14,F15,F16,F17,F19,F18,F20,F21,F22,F23,F24,F25,F26,F27,F28,F29,F30,F31,F32,F33,F34,F35,F36,F37,F38,F39,F40,F41,F42,F43,F44,F45,F46,F47,F48,F49,F50,F51,F52,F53,F53,F54,F55,F56,F57)</calculatedColumnFormula>
    </tableColumn>
    <tableColumn id="3" xr3:uid="{FCC6C2C3-A36E-4450-9B5F-F10FE9AF7264}" name="Total Debits" dataDxfId="27">
      <calculatedColumnFormula>SUM(E11,E12,E13,E14,E15,E1,E16,E17,E18,E19,E20,E21,E22,E23,E24,E25,E26,E27,E28,E29,E30,E31,E32,E33,E34,E35,E36,E37,E38,E39,E40,E41,E42,E43,E44,E45,E46,E47,E48,E49,E50,E51,E52,E53,E54,E55,E56,E57)</calculatedColumnFormula>
    </tableColumn>
    <tableColumn id="4" xr3:uid="{0A840106-AD01-4EE2-98DB-FD27EBC97DB2}" name="Closing Balance" dataDxfId="26">
      <calculatedColumnFormula>SUM(G58)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8B429F-A62C-42E2-B90D-F25F57DF44B6}" name="Table4" displayName="Table4" ref="A1:F50" totalsRowShown="0" headerRowBorderDxfId="25" tableBorderDxfId="24">
  <autoFilter ref="A1:F50" xr:uid="{4D8B429F-A62C-42E2-B90D-F25F57DF44B6}"/>
  <tableColumns count="6">
    <tableColumn id="1" xr3:uid="{99265FB2-8B18-481A-9818-5ADDDA566163}" name="Date" dataDxfId="23"/>
    <tableColumn id="2" xr3:uid="{358969C1-82A9-4523-9667-15070ADD4AB6}" name="Description" dataDxfId="22"/>
    <tableColumn id="3" xr3:uid="{9BD82EC4-3FC5-46E6-B5C9-8992C68D2118}" name="Zoho Amount" dataDxfId="21"/>
    <tableColumn id="4" xr3:uid="{50ED8F9B-77DD-4B9F-8919-3E50FCD2327A}" name="Bank Amount" dataDxfId="20"/>
    <tableColumn id="5" xr3:uid="{6E35BACB-60A6-4DD8-989A-573705297421}" name="Status" dataDxfId="19"/>
    <tableColumn id="6" xr3:uid="{AC0C197F-8BA5-4004-89C2-7945432D83C7}" name="Notes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6E5058-2FE7-4B9C-A0DC-08427B69C11F}" name="Table7" displayName="Table7" ref="A1:I13" totalsRowShown="0" headerRowDxfId="17" headerRowBorderDxfId="16" tableBorderDxfId="15">
  <autoFilter ref="A1:I13" xr:uid="{4E6E5058-2FE7-4B9C-A0DC-08427B69C11F}"/>
  <tableColumns count="9">
    <tableColumn id="1" xr3:uid="{65AB20E0-B4E8-4451-9D66-212C2E45343D}" name="S.no" dataDxfId="14"/>
    <tableColumn id="2" xr3:uid="{7DAB1E06-7E75-487A-BF06-21CA75C4A4E3}" name="Date" dataDxfId="13"/>
    <tableColumn id="3" xr3:uid="{7ECBE812-3767-46E2-9C6E-7846D2FDE7B8}" name="Description" dataDxfId="12"/>
    <tableColumn id="4" xr3:uid="{D375B2C8-480B-43F9-858D-43D0AAC80A50}" name="Zoho Amount" dataDxfId="11"/>
    <tableColumn id="5" xr3:uid="{09A88279-FD39-43E8-878F-B35FE52D24BE}" name="Bank Amount" dataDxfId="10"/>
    <tableColumn id="6" xr3:uid="{9257EC12-13A5-43C5-8E97-DAA4FAE52B89}" name="Difference" dataDxfId="9"/>
    <tableColumn id="7" xr3:uid="{4EED84A4-CAC0-4E2B-999C-B480B316C301}" name="Classification" dataDxfId="8"/>
    <tableColumn id="8" xr3:uid="{CF058C74-D20A-4BA5-AF05-F1C6E627940F}" name="Root Cause" dataDxfId="7"/>
    <tableColumn id="9" xr3:uid="{13FDF0F9-0FEA-4F24-968B-5DDED2BBA1B9}" name="Recommended Action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B5E735E-3301-43C0-A94A-33E65ABDFD3D}" name="Table9" displayName="Table9" ref="A17:B21" totalsRowShown="0">
  <autoFilter ref="A17:B21" xr:uid="{BB5E735E-3301-43C0-A94A-33E65ABDFD3D}"/>
  <tableColumns count="2">
    <tableColumn id="1" xr3:uid="{D25804D8-D0E1-420C-8A4F-61B79707730A}" name="Classification Codes"/>
    <tableColumn id="2" xr3:uid="{E882188E-4C4E-4EE1-8BE0-9923A62DDDF3}" name="Their meaning" dataDxfId="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602FE0-CD53-4E90-8335-A05B52E61FB9}" name="Table8" displayName="Table8" ref="A5:B18" totalsRowShown="0" headerRowBorderDxfId="4" tableBorderDxfId="3">
  <autoFilter ref="A5:B18" xr:uid="{BA602FE0-CD53-4E90-8335-A05B52E61FB9}"/>
  <tableColumns count="2">
    <tableColumn id="1" xr3:uid="{7357BF3C-5B04-4FE6-80D7-073B4B44112B}" name="Particulars" dataDxfId="2"/>
    <tableColumn id="2" xr3:uid="{DC3F516C-53F3-41CF-AED7-4B38E80F98BA}" name="Amount (₹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5BB0-BF47-4460-9781-83B376BF4879}">
  <dimension ref="A1:J43"/>
  <sheetViews>
    <sheetView tabSelected="1" topLeftCell="A3" zoomScaleNormal="100" workbookViewId="0">
      <selection activeCell="B14" sqref="B14"/>
    </sheetView>
  </sheetViews>
  <sheetFormatPr defaultRowHeight="14.5" x14ac:dyDescent="0.35"/>
  <cols>
    <col min="1" max="1" width="29.7265625" customWidth="1"/>
    <col min="2" max="2" width="24.453125" customWidth="1"/>
  </cols>
  <sheetData>
    <row r="1" spans="1:10" ht="18.5" customHeight="1" x14ac:dyDescent="0.35">
      <c r="A1" s="105" t="s">
        <v>344</v>
      </c>
      <c r="B1" s="105"/>
      <c r="C1" s="105"/>
      <c r="D1" s="105"/>
      <c r="E1" s="105"/>
      <c r="F1" s="105"/>
      <c r="G1" s="105"/>
      <c r="H1" s="105"/>
      <c r="I1" s="105"/>
      <c r="J1" s="96"/>
    </row>
    <row r="2" spans="1:10" ht="14.5" customHeight="1" x14ac:dyDescent="0.35">
      <c r="A2" s="105"/>
      <c r="B2" s="105"/>
      <c r="C2" s="105"/>
      <c r="D2" s="105"/>
      <c r="E2" s="105"/>
      <c r="F2" s="105"/>
      <c r="G2" s="105"/>
      <c r="H2" s="105"/>
      <c r="I2" s="105"/>
      <c r="J2" s="96"/>
    </row>
    <row r="3" spans="1:10" ht="14.5" customHeight="1" x14ac:dyDescent="0.35">
      <c r="A3" s="105"/>
      <c r="B3" s="105"/>
      <c r="C3" s="105"/>
      <c r="D3" s="105"/>
      <c r="E3" s="105"/>
      <c r="F3" s="105"/>
      <c r="G3" s="105"/>
      <c r="H3" s="105"/>
      <c r="I3" s="105"/>
      <c r="J3" s="96"/>
    </row>
    <row r="4" spans="1:10" ht="14.5" customHeight="1" x14ac:dyDescent="0.35">
      <c r="A4" s="105"/>
      <c r="B4" s="105"/>
      <c r="C4" s="105"/>
      <c r="D4" s="105"/>
      <c r="E4" s="105"/>
      <c r="F4" s="105"/>
      <c r="G4" s="105"/>
      <c r="H4" s="105"/>
      <c r="I4" s="105"/>
      <c r="J4" s="96"/>
    </row>
    <row r="5" spans="1:10" ht="14.5" customHeight="1" x14ac:dyDescent="0.35">
      <c r="A5" s="105"/>
      <c r="B5" s="105"/>
      <c r="C5" s="105"/>
      <c r="D5" s="105"/>
      <c r="E5" s="105"/>
      <c r="F5" s="105"/>
      <c r="G5" s="105"/>
      <c r="H5" s="105"/>
      <c r="I5" s="105"/>
      <c r="J5" s="96"/>
    </row>
    <row r="6" spans="1:10" ht="14.5" customHeight="1" x14ac:dyDescent="0.35">
      <c r="A6" s="96"/>
      <c r="B6" s="96"/>
      <c r="C6" s="96"/>
      <c r="D6" s="96"/>
      <c r="E6" s="96"/>
      <c r="F6" s="96"/>
      <c r="G6" s="96"/>
      <c r="H6" s="96"/>
      <c r="I6" s="96"/>
      <c r="J6" s="96"/>
    </row>
    <row r="7" spans="1:10" ht="14.5" customHeight="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</row>
    <row r="8" spans="1:10" ht="14.5" customHeight="1" x14ac:dyDescent="0.35">
      <c r="A8" s="99" t="s">
        <v>345</v>
      </c>
      <c r="B8" s="96"/>
      <c r="C8" s="96"/>
      <c r="D8" s="96"/>
      <c r="E8" s="96"/>
      <c r="F8" s="96"/>
      <c r="G8" s="96"/>
      <c r="H8" s="96"/>
      <c r="I8" s="96"/>
      <c r="J8" s="96"/>
    </row>
    <row r="9" spans="1:10" ht="14.5" customHeight="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</row>
    <row r="10" spans="1:10" ht="15.5" x14ac:dyDescent="0.35">
      <c r="A10" s="92" t="s">
        <v>324</v>
      </c>
      <c r="B10" s="92" t="s">
        <v>325</v>
      </c>
    </row>
    <row r="11" spans="1:10" x14ac:dyDescent="0.35">
      <c r="A11" s="90" t="s">
        <v>326</v>
      </c>
      <c r="B11">
        <v>25</v>
      </c>
    </row>
    <row r="12" spans="1:10" x14ac:dyDescent="0.35">
      <c r="A12" s="90" t="s">
        <v>327</v>
      </c>
      <c r="B12">
        <v>18</v>
      </c>
    </row>
    <row r="13" spans="1:10" x14ac:dyDescent="0.35">
      <c r="A13" s="90" t="s">
        <v>328</v>
      </c>
      <c r="B13" s="90">
        <v>7</v>
      </c>
    </row>
    <row r="14" spans="1:10" x14ac:dyDescent="0.35">
      <c r="A14" s="90" t="s">
        <v>329</v>
      </c>
      <c r="B14" s="97">
        <v>52243</v>
      </c>
    </row>
    <row r="15" spans="1:10" x14ac:dyDescent="0.35">
      <c r="A15" s="90" t="s">
        <v>330</v>
      </c>
      <c r="B15">
        <v>1</v>
      </c>
    </row>
    <row r="16" spans="1:10" x14ac:dyDescent="0.35">
      <c r="A16" s="90" t="s">
        <v>331</v>
      </c>
      <c r="B16">
        <v>5</v>
      </c>
    </row>
    <row r="19" spans="1:3" ht="15.5" x14ac:dyDescent="0.35">
      <c r="A19" s="92" t="s">
        <v>346</v>
      </c>
      <c r="B19" s="92"/>
    </row>
    <row r="20" spans="1:3" ht="15.5" customHeight="1" x14ac:dyDescent="0.35">
      <c r="A20" s="104" t="s">
        <v>340</v>
      </c>
      <c r="B20" s="104"/>
      <c r="C20" s="104"/>
    </row>
    <row r="42" spans="1:2" ht="15.5" x14ac:dyDescent="0.35">
      <c r="A42" s="92" t="s">
        <v>347</v>
      </c>
    </row>
    <row r="43" spans="1:2" x14ac:dyDescent="0.35">
      <c r="A43" s="104" t="s">
        <v>341</v>
      </c>
      <c r="B43" s="104"/>
    </row>
  </sheetData>
  <mergeCells count="3">
    <mergeCell ref="A20:C20"/>
    <mergeCell ref="A43:B43"/>
    <mergeCell ref="A1:I5"/>
  </mergeCells>
  <phoneticPr fontId="16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755E-9423-4FA0-AD90-D4F1E6E795C6}">
  <dimension ref="A1:C15"/>
  <sheetViews>
    <sheetView workbookViewId="0">
      <selection activeCell="H12" sqref="H12"/>
    </sheetView>
  </sheetViews>
  <sheetFormatPr defaultRowHeight="14.5" x14ac:dyDescent="0.35"/>
  <sheetData>
    <row r="1" spans="1:3" x14ac:dyDescent="0.35">
      <c r="B1" s="104" t="s">
        <v>342</v>
      </c>
      <c r="C1" s="104"/>
    </row>
    <row r="3" spans="1:3" x14ac:dyDescent="0.35">
      <c r="A3" t="s">
        <v>333</v>
      </c>
      <c r="B3" t="s">
        <v>334</v>
      </c>
    </row>
    <row r="4" spans="1:3" x14ac:dyDescent="0.35">
      <c r="A4" t="s">
        <v>335</v>
      </c>
      <c r="B4">
        <v>5</v>
      </c>
    </row>
    <row r="5" spans="1:3" x14ac:dyDescent="0.35">
      <c r="A5" t="s">
        <v>315</v>
      </c>
      <c r="B5">
        <v>0</v>
      </c>
    </row>
    <row r="6" spans="1:3" x14ac:dyDescent="0.35">
      <c r="A6" t="s">
        <v>246</v>
      </c>
      <c r="B6">
        <v>1</v>
      </c>
    </row>
    <row r="7" spans="1:3" x14ac:dyDescent="0.35">
      <c r="A7" t="s">
        <v>318</v>
      </c>
      <c r="B7">
        <v>1</v>
      </c>
    </row>
    <row r="10" spans="1:3" x14ac:dyDescent="0.35">
      <c r="B10" s="104" t="s">
        <v>343</v>
      </c>
      <c r="C10" s="104"/>
    </row>
    <row r="12" spans="1:3" x14ac:dyDescent="0.35">
      <c r="A12" t="s">
        <v>336</v>
      </c>
      <c r="B12" t="s">
        <v>334</v>
      </c>
    </row>
    <row r="13" spans="1:3" x14ac:dyDescent="0.35">
      <c r="A13" t="s">
        <v>337</v>
      </c>
      <c r="B13">
        <v>4</v>
      </c>
    </row>
    <row r="14" spans="1:3" x14ac:dyDescent="0.35">
      <c r="A14" s="98" t="s">
        <v>338</v>
      </c>
      <c r="B14">
        <v>2</v>
      </c>
    </row>
    <row r="15" spans="1:3" x14ac:dyDescent="0.35">
      <c r="A15" t="s">
        <v>339</v>
      </c>
      <c r="B15">
        <v>1</v>
      </c>
    </row>
  </sheetData>
  <mergeCells count="2">
    <mergeCell ref="B1:C1"/>
    <mergeCell ref="B10:C10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D8DEE-DA34-4BF2-81CA-10821E02A641}">
  <dimension ref="A1:K56"/>
  <sheetViews>
    <sheetView zoomScale="91" zoomScaleNormal="80" workbookViewId="0">
      <selection activeCell="B57" sqref="B57"/>
    </sheetView>
  </sheetViews>
  <sheetFormatPr defaultRowHeight="14.5" x14ac:dyDescent="0.35"/>
  <cols>
    <col min="1" max="1" width="12.26953125" customWidth="1"/>
    <col min="2" max="2" width="19.54296875" bestFit="1" customWidth="1"/>
    <col min="3" max="3" width="35.6328125" customWidth="1"/>
    <col min="4" max="4" width="21.1796875" customWidth="1"/>
    <col min="5" max="5" width="22.36328125" customWidth="1"/>
    <col min="6" max="6" width="16.7265625" customWidth="1"/>
    <col min="7" max="7" width="15" customWidth="1"/>
    <col min="8" max="8" width="13.7265625" customWidth="1"/>
    <col min="9" max="9" width="15.1796875" customWidth="1"/>
    <col min="10" max="10" width="17.1796875" style="3" customWidth="1"/>
    <col min="11" max="11" width="10.26953125" bestFit="1" customWidth="1"/>
  </cols>
  <sheetData>
    <row r="1" spans="1:11" ht="14.5" customHeight="1" x14ac:dyDescent="0.45">
      <c r="A1" s="114" t="s">
        <v>0</v>
      </c>
      <c r="B1" s="114"/>
      <c r="C1" s="12"/>
    </row>
    <row r="2" spans="1:11" ht="15.5" x14ac:dyDescent="0.35">
      <c r="A2" s="115" t="s">
        <v>1</v>
      </c>
      <c r="B2" s="116"/>
    </row>
    <row r="3" spans="1:11" ht="15.5" x14ac:dyDescent="0.35">
      <c r="A3" s="115" t="s">
        <v>2</v>
      </c>
      <c r="B3" s="115"/>
      <c r="C3" s="13"/>
    </row>
    <row r="4" spans="1:11" ht="15.5" x14ac:dyDescent="0.35">
      <c r="A4" s="115" t="s">
        <v>3</v>
      </c>
      <c r="B4" s="115"/>
      <c r="C4" s="13"/>
    </row>
    <row r="5" spans="1:11" ht="16" thickBot="1" x14ac:dyDescent="0.4">
      <c r="A5" s="117" t="s">
        <v>4</v>
      </c>
      <c r="B5" s="117"/>
      <c r="C5" s="13"/>
    </row>
    <row r="6" spans="1:11" ht="15.5" thickTop="1" thickBot="1" x14ac:dyDescent="0.4">
      <c r="A6" s="36"/>
      <c r="B6" s="34"/>
      <c r="C6" s="23"/>
      <c r="H6" s="23"/>
      <c r="I6" s="23"/>
    </row>
    <row r="7" spans="1:11" ht="19.5" thickTop="1" thickBot="1" x14ac:dyDescent="0.5">
      <c r="A7" s="57" t="s">
        <v>6</v>
      </c>
      <c r="B7" s="37" t="s">
        <v>7</v>
      </c>
      <c r="C7" s="37" t="s">
        <v>8</v>
      </c>
      <c r="D7" s="38" t="s">
        <v>9</v>
      </c>
      <c r="E7" s="37" t="s">
        <v>309</v>
      </c>
      <c r="F7" s="37" t="s">
        <v>10</v>
      </c>
      <c r="G7" s="37" t="s">
        <v>11</v>
      </c>
      <c r="H7" s="37" t="s">
        <v>12</v>
      </c>
      <c r="I7" s="43" t="s">
        <v>13</v>
      </c>
      <c r="J7" s="40" t="s">
        <v>311</v>
      </c>
      <c r="K7" s="39"/>
    </row>
    <row r="8" spans="1:11" ht="15" thickTop="1" x14ac:dyDescent="0.35">
      <c r="A8" s="58">
        <v>46023</v>
      </c>
      <c r="B8" s="27" t="s">
        <v>2</v>
      </c>
      <c r="C8" s="31" t="s">
        <v>14</v>
      </c>
      <c r="D8" s="31"/>
      <c r="E8" s="27"/>
      <c r="F8" s="27"/>
      <c r="G8" s="27"/>
      <c r="H8" s="42"/>
      <c r="I8" s="42"/>
      <c r="J8" s="41" t="s">
        <v>266</v>
      </c>
    </row>
    <row r="9" spans="1:11" x14ac:dyDescent="0.35">
      <c r="A9" s="59">
        <v>46026</v>
      </c>
      <c r="B9" s="5" t="s">
        <v>2</v>
      </c>
      <c r="C9" s="5" t="s">
        <v>15</v>
      </c>
      <c r="D9" s="5" t="s">
        <v>16</v>
      </c>
      <c r="E9" s="5" t="str">
        <f>IF(ISNUMBER(SEARCH("NEFT",C9)),"NEFT",IF(ISNUMBER(SEARCH("RTGS",C9)),"RTGS",IF(ISNUMBER(SEARCH("UPI",C9)),"UPI",IF(ISNUMBER(SEARCH("Cheque",C9)),"Cheque",IF(ISNUMBER(SEARCH("Journal",C9)),"Journal","Other")))))</f>
        <v>NEFT</v>
      </c>
      <c r="F9" s="5" t="s">
        <v>17</v>
      </c>
      <c r="G9" s="5" t="s">
        <v>17</v>
      </c>
      <c r="H9" s="20">
        <v>85400</v>
      </c>
      <c r="I9" s="20"/>
      <c r="J9" s="21" t="s">
        <v>267</v>
      </c>
    </row>
    <row r="10" spans="1:11" x14ac:dyDescent="0.35">
      <c r="A10" s="59">
        <v>46027</v>
      </c>
      <c r="B10" s="5" t="s">
        <v>2</v>
      </c>
      <c r="C10" s="5" t="s">
        <v>18</v>
      </c>
      <c r="D10" s="5" t="s">
        <v>19</v>
      </c>
      <c r="E10" s="5" t="str">
        <f t="shared" ref="E10:E50" si="0">IF(ISNUMBER(SEARCH("NEFT",C10)),"NEFT",IF(ISNUMBER(SEARCH("RTGS",C10)),"RTGS",IF(ISNUMBER(SEARCH("UPI",C10)),"UPI",IF(ISNUMBER(SEARCH("Cheque",C10)),"Cheque",IF(ISNUMBER(SEARCH("Journal",C10)),"Journal","Other")))))</f>
        <v>Other</v>
      </c>
      <c r="F10" s="5" t="s">
        <v>20</v>
      </c>
      <c r="G10" s="5" t="s">
        <v>20</v>
      </c>
      <c r="H10" s="20"/>
      <c r="I10" s="20">
        <v>45000</v>
      </c>
      <c r="J10" s="21" t="s">
        <v>268</v>
      </c>
    </row>
    <row r="11" spans="1:11" x14ac:dyDescent="0.35">
      <c r="A11" s="59">
        <v>46029</v>
      </c>
      <c r="B11" s="5" t="s">
        <v>2</v>
      </c>
      <c r="C11" s="5" t="s">
        <v>21</v>
      </c>
      <c r="D11" s="5" t="s">
        <v>22</v>
      </c>
      <c r="E11" s="5" t="str">
        <f t="shared" si="0"/>
        <v>RTGS</v>
      </c>
      <c r="F11" s="5" t="s">
        <v>23</v>
      </c>
      <c r="G11" s="5" t="s">
        <v>23</v>
      </c>
      <c r="H11" s="20"/>
      <c r="I11" s="20">
        <v>185000</v>
      </c>
      <c r="J11" s="21" t="s">
        <v>301</v>
      </c>
      <c r="K11" s="2"/>
    </row>
    <row r="12" spans="1:11" x14ac:dyDescent="0.35">
      <c r="A12" s="59">
        <v>46032</v>
      </c>
      <c r="B12" s="5" t="s">
        <v>2</v>
      </c>
      <c r="C12" s="5" t="s">
        <v>24</v>
      </c>
      <c r="D12" s="5" t="s">
        <v>16</v>
      </c>
      <c r="E12" s="5" t="str">
        <f t="shared" si="0"/>
        <v>NEFT</v>
      </c>
      <c r="F12" s="5" t="s">
        <v>25</v>
      </c>
      <c r="G12" s="5" t="s">
        <v>25</v>
      </c>
      <c r="H12" s="20">
        <v>68500</v>
      </c>
      <c r="I12" s="20"/>
      <c r="J12" s="21" t="s">
        <v>269</v>
      </c>
    </row>
    <row r="13" spans="1:11" x14ac:dyDescent="0.35">
      <c r="A13" s="59">
        <v>46033</v>
      </c>
      <c r="B13" s="5" t="s">
        <v>2</v>
      </c>
      <c r="C13" s="5" t="s">
        <v>26</v>
      </c>
      <c r="D13" s="5" t="s">
        <v>16</v>
      </c>
      <c r="E13" s="5" t="str">
        <f t="shared" si="0"/>
        <v>Cheque</v>
      </c>
      <c r="F13" s="5" t="s">
        <v>27</v>
      </c>
      <c r="G13" s="5" t="s">
        <v>27</v>
      </c>
      <c r="H13" s="20">
        <v>42600</v>
      </c>
      <c r="I13" s="20"/>
      <c r="J13" s="21" t="s">
        <v>270</v>
      </c>
    </row>
    <row r="14" spans="1:11" x14ac:dyDescent="0.35">
      <c r="A14" s="59">
        <v>46036</v>
      </c>
      <c r="B14" s="5" t="s">
        <v>2</v>
      </c>
      <c r="C14" s="5" t="s">
        <v>28</v>
      </c>
      <c r="D14" s="5" t="s">
        <v>22</v>
      </c>
      <c r="E14" s="5" t="str">
        <f t="shared" si="0"/>
        <v>NEFT</v>
      </c>
      <c r="F14" s="5" t="s">
        <v>29</v>
      </c>
      <c r="G14" s="5" t="s">
        <v>29</v>
      </c>
      <c r="H14" s="20"/>
      <c r="I14" s="20">
        <v>32400</v>
      </c>
      <c r="J14" s="21" t="s">
        <v>271</v>
      </c>
    </row>
    <row r="15" spans="1:11" x14ac:dyDescent="0.35">
      <c r="A15" s="59">
        <v>46037</v>
      </c>
      <c r="B15" s="5" t="s">
        <v>2</v>
      </c>
      <c r="C15" s="5" t="s">
        <v>30</v>
      </c>
      <c r="D15" s="5" t="s">
        <v>22</v>
      </c>
      <c r="E15" s="5" t="str">
        <f t="shared" si="0"/>
        <v>Other</v>
      </c>
      <c r="F15" s="5" t="s">
        <v>31</v>
      </c>
      <c r="G15" s="5" t="s">
        <v>31</v>
      </c>
      <c r="H15" s="20"/>
      <c r="I15" s="20">
        <v>8240</v>
      </c>
      <c r="J15" s="21" t="s">
        <v>272</v>
      </c>
    </row>
    <row r="16" spans="1:11" x14ac:dyDescent="0.35">
      <c r="A16" s="59">
        <v>46040</v>
      </c>
      <c r="B16" s="5" t="s">
        <v>2</v>
      </c>
      <c r="C16" s="5" t="s">
        <v>32</v>
      </c>
      <c r="D16" s="5" t="s">
        <v>16</v>
      </c>
      <c r="E16" s="5" t="str">
        <f t="shared" si="0"/>
        <v>NEFT</v>
      </c>
      <c r="F16" s="5" t="s">
        <v>33</v>
      </c>
      <c r="G16" s="5" t="s">
        <v>33</v>
      </c>
      <c r="H16" s="20">
        <v>128750</v>
      </c>
      <c r="I16" s="20"/>
      <c r="J16" s="21" t="s">
        <v>273</v>
      </c>
    </row>
    <row r="17" spans="1:10" x14ac:dyDescent="0.35">
      <c r="A17" s="59">
        <v>46042</v>
      </c>
      <c r="B17" s="5" t="s">
        <v>2</v>
      </c>
      <c r="C17" s="5" t="s">
        <v>34</v>
      </c>
      <c r="D17" s="5" t="s">
        <v>22</v>
      </c>
      <c r="E17" s="5" t="str">
        <f t="shared" si="0"/>
        <v>Other</v>
      </c>
      <c r="F17" s="5" t="s">
        <v>35</v>
      </c>
      <c r="G17" s="5" t="s">
        <v>35</v>
      </c>
      <c r="H17" s="20"/>
      <c r="I17" s="20">
        <v>4500</v>
      </c>
      <c r="J17" s="21" t="s">
        <v>274</v>
      </c>
    </row>
    <row r="18" spans="1:10" x14ac:dyDescent="0.35">
      <c r="A18" s="59">
        <v>46042</v>
      </c>
      <c r="B18" s="5" t="s">
        <v>2</v>
      </c>
      <c r="C18" s="5" t="s">
        <v>36</v>
      </c>
      <c r="D18" s="5" t="s">
        <v>19</v>
      </c>
      <c r="E18" s="5" t="str">
        <f t="shared" si="0"/>
        <v>Other</v>
      </c>
      <c r="F18" s="5" t="s">
        <v>37</v>
      </c>
      <c r="G18" s="5" t="s">
        <v>37</v>
      </c>
      <c r="H18" s="20"/>
      <c r="I18" s="20">
        <v>47500</v>
      </c>
      <c r="J18" s="21" t="s">
        <v>275</v>
      </c>
    </row>
    <row r="19" spans="1:10" x14ac:dyDescent="0.35">
      <c r="A19" s="59">
        <v>46043</v>
      </c>
      <c r="B19" s="5" t="s">
        <v>2</v>
      </c>
      <c r="C19" s="5" t="s">
        <v>36</v>
      </c>
      <c r="D19" s="5" t="s">
        <v>22</v>
      </c>
      <c r="E19" s="5" t="str">
        <f t="shared" si="0"/>
        <v>Other</v>
      </c>
      <c r="F19" s="5" t="s">
        <v>38</v>
      </c>
      <c r="G19" s="5" t="s">
        <v>38</v>
      </c>
      <c r="H19" s="20"/>
      <c r="I19" s="20">
        <v>4500</v>
      </c>
      <c r="J19" s="21" t="s">
        <v>276</v>
      </c>
    </row>
    <row r="20" spans="1:10" x14ac:dyDescent="0.35">
      <c r="A20" s="59">
        <v>46044</v>
      </c>
      <c r="B20" s="5" t="s">
        <v>2</v>
      </c>
      <c r="C20" s="5" t="s">
        <v>39</v>
      </c>
      <c r="D20" s="5" t="s">
        <v>22</v>
      </c>
      <c r="E20" s="5" t="str">
        <f t="shared" si="0"/>
        <v>Cheque</v>
      </c>
      <c r="F20" s="5" t="s">
        <v>40</v>
      </c>
      <c r="G20" s="5" t="s">
        <v>40</v>
      </c>
      <c r="H20" s="20"/>
      <c r="I20" s="20">
        <v>28700</v>
      </c>
      <c r="J20" s="21" t="s">
        <v>277</v>
      </c>
    </row>
    <row r="21" spans="1:10" x14ac:dyDescent="0.35">
      <c r="A21" s="59">
        <v>46046</v>
      </c>
      <c r="B21" s="5" t="s">
        <v>2</v>
      </c>
      <c r="C21" s="5" t="s">
        <v>41</v>
      </c>
      <c r="D21" s="5" t="s">
        <v>16</v>
      </c>
      <c r="E21" s="5" t="str">
        <f t="shared" si="0"/>
        <v>UPI</v>
      </c>
      <c r="F21" s="5" t="s">
        <v>42</v>
      </c>
      <c r="G21" s="5" t="s">
        <v>42</v>
      </c>
      <c r="H21" s="20">
        <v>19400</v>
      </c>
      <c r="I21" s="20"/>
      <c r="J21" s="21" t="s">
        <v>278</v>
      </c>
    </row>
    <row r="22" spans="1:10" x14ac:dyDescent="0.35">
      <c r="A22" s="59">
        <v>46051</v>
      </c>
      <c r="B22" s="5" t="s">
        <v>2</v>
      </c>
      <c r="C22" s="5" t="s">
        <v>43</v>
      </c>
      <c r="D22" s="5" t="s">
        <v>16</v>
      </c>
      <c r="E22" s="5" t="str">
        <f t="shared" si="0"/>
        <v>UPI</v>
      </c>
      <c r="F22" s="5" t="s">
        <v>44</v>
      </c>
      <c r="G22" s="5" t="s">
        <v>44</v>
      </c>
      <c r="H22" s="20">
        <v>18900</v>
      </c>
      <c r="I22" s="20"/>
      <c r="J22" s="21" t="s">
        <v>279</v>
      </c>
    </row>
    <row r="23" spans="1:10" x14ac:dyDescent="0.35">
      <c r="A23" s="59">
        <v>46056</v>
      </c>
      <c r="B23" s="5" t="s">
        <v>2</v>
      </c>
      <c r="C23" s="5" t="s">
        <v>21</v>
      </c>
      <c r="D23" s="5" t="s">
        <v>22</v>
      </c>
      <c r="E23" s="5" t="str">
        <f t="shared" si="0"/>
        <v>RTGS</v>
      </c>
      <c r="F23" s="5" t="s">
        <v>45</v>
      </c>
      <c r="G23" s="5" t="s">
        <v>45</v>
      </c>
      <c r="H23" s="20"/>
      <c r="I23" s="20">
        <v>205000</v>
      </c>
      <c r="J23" s="21" t="s">
        <v>302</v>
      </c>
    </row>
    <row r="24" spans="1:10" x14ac:dyDescent="0.35">
      <c r="A24" s="59">
        <v>46059</v>
      </c>
      <c r="B24" s="5" t="s">
        <v>2</v>
      </c>
      <c r="C24" s="5" t="s">
        <v>46</v>
      </c>
      <c r="D24" s="5" t="s">
        <v>16</v>
      </c>
      <c r="E24" s="5" t="str">
        <f t="shared" si="0"/>
        <v>NEFT</v>
      </c>
      <c r="F24" s="5" t="s">
        <v>47</v>
      </c>
      <c r="G24" s="5" t="s">
        <v>47</v>
      </c>
      <c r="H24" s="20">
        <v>35200</v>
      </c>
      <c r="I24" s="20"/>
      <c r="J24" s="21" t="s">
        <v>303</v>
      </c>
    </row>
    <row r="25" spans="1:10" x14ac:dyDescent="0.35">
      <c r="A25" s="59">
        <v>46061</v>
      </c>
      <c r="B25" s="5" t="s">
        <v>2</v>
      </c>
      <c r="C25" s="5" t="s">
        <v>24</v>
      </c>
      <c r="D25" s="5" t="s">
        <v>16</v>
      </c>
      <c r="E25" s="5" t="str">
        <f t="shared" si="0"/>
        <v>NEFT</v>
      </c>
      <c r="F25" s="5" t="s">
        <v>48</v>
      </c>
      <c r="G25" s="5" t="s">
        <v>48</v>
      </c>
      <c r="H25" s="20">
        <v>72800</v>
      </c>
      <c r="I25" s="20"/>
      <c r="J25" s="21" t="s">
        <v>280</v>
      </c>
    </row>
    <row r="26" spans="1:10" x14ac:dyDescent="0.35">
      <c r="A26" s="59">
        <v>46063</v>
      </c>
      <c r="B26" s="5" t="s">
        <v>2</v>
      </c>
      <c r="C26" s="5" t="s">
        <v>49</v>
      </c>
      <c r="D26" s="5" t="s">
        <v>22</v>
      </c>
      <c r="E26" s="5" t="str">
        <f t="shared" si="0"/>
        <v>NEFT</v>
      </c>
      <c r="F26" s="5" t="s">
        <v>50</v>
      </c>
      <c r="G26" s="5" t="s">
        <v>50</v>
      </c>
      <c r="H26" s="20"/>
      <c r="I26" s="20">
        <v>140500</v>
      </c>
      <c r="J26" s="21" t="s">
        <v>304</v>
      </c>
    </row>
    <row r="27" spans="1:10" x14ac:dyDescent="0.35">
      <c r="A27" s="59">
        <v>46068</v>
      </c>
      <c r="B27" s="5" t="s">
        <v>2</v>
      </c>
      <c r="C27" s="5" t="s">
        <v>15</v>
      </c>
      <c r="D27" s="5" t="s">
        <v>16</v>
      </c>
      <c r="E27" s="5" t="str">
        <f t="shared" si="0"/>
        <v>NEFT</v>
      </c>
      <c r="F27" s="5" t="s">
        <v>51</v>
      </c>
      <c r="G27" s="5" t="s">
        <v>51</v>
      </c>
      <c r="H27" s="20">
        <v>92800</v>
      </c>
      <c r="I27" s="20"/>
      <c r="J27" s="21" t="s">
        <v>281</v>
      </c>
    </row>
    <row r="28" spans="1:10" x14ac:dyDescent="0.35">
      <c r="A28" s="59">
        <v>46070</v>
      </c>
      <c r="B28" s="5" t="s">
        <v>2</v>
      </c>
      <c r="C28" s="5" t="s">
        <v>28</v>
      </c>
      <c r="D28" s="5" t="s">
        <v>22</v>
      </c>
      <c r="E28" s="5" t="str">
        <f t="shared" si="0"/>
        <v>NEFT</v>
      </c>
      <c r="F28" s="5" t="s">
        <v>52</v>
      </c>
      <c r="G28" s="5" t="s">
        <v>52</v>
      </c>
      <c r="H28" s="20"/>
      <c r="I28" s="20">
        <v>36800</v>
      </c>
      <c r="J28" s="21" t="s">
        <v>305</v>
      </c>
    </row>
    <row r="29" spans="1:10" x14ac:dyDescent="0.35">
      <c r="A29" s="59">
        <v>46071</v>
      </c>
      <c r="B29" s="5" t="s">
        <v>2</v>
      </c>
      <c r="C29" s="5" t="s">
        <v>53</v>
      </c>
      <c r="D29" s="5" t="s">
        <v>22</v>
      </c>
      <c r="E29" s="5" t="str">
        <f t="shared" si="0"/>
        <v>Other</v>
      </c>
      <c r="F29" s="5" t="s">
        <v>54</v>
      </c>
      <c r="G29" s="5" t="s">
        <v>54</v>
      </c>
      <c r="H29" s="20"/>
      <c r="I29" s="20">
        <v>9180</v>
      </c>
      <c r="J29" s="21" t="s">
        <v>306</v>
      </c>
    </row>
    <row r="30" spans="1:10" x14ac:dyDescent="0.35">
      <c r="A30" s="59">
        <v>46072</v>
      </c>
      <c r="B30" s="5" t="s">
        <v>2</v>
      </c>
      <c r="C30" s="5" t="s">
        <v>55</v>
      </c>
      <c r="D30" s="5" t="s">
        <v>16</v>
      </c>
      <c r="E30" s="5" t="str">
        <f t="shared" si="0"/>
        <v>NEFT</v>
      </c>
      <c r="F30" s="5" t="s">
        <v>56</v>
      </c>
      <c r="G30" s="5" t="s">
        <v>56</v>
      </c>
      <c r="H30" s="20">
        <v>88600</v>
      </c>
      <c r="I30" s="20"/>
      <c r="J30" s="21" t="s">
        <v>282</v>
      </c>
    </row>
    <row r="31" spans="1:10" x14ac:dyDescent="0.35">
      <c r="A31" s="59">
        <v>46073</v>
      </c>
      <c r="B31" s="5" t="s">
        <v>2</v>
      </c>
      <c r="C31" s="5" t="s">
        <v>34</v>
      </c>
      <c r="D31" s="5" t="s">
        <v>22</v>
      </c>
      <c r="E31" s="5" t="str">
        <f t="shared" si="0"/>
        <v>Other</v>
      </c>
      <c r="F31" s="5" t="s">
        <v>57</v>
      </c>
      <c r="G31" s="5" t="s">
        <v>57</v>
      </c>
      <c r="H31" s="20"/>
      <c r="I31" s="20">
        <v>4500</v>
      </c>
      <c r="J31" s="21" t="s">
        <v>283</v>
      </c>
    </row>
    <row r="32" spans="1:10" x14ac:dyDescent="0.35">
      <c r="A32" s="59">
        <v>46073</v>
      </c>
      <c r="B32" s="5" t="s">
        <v>2</v>
      </c>
      <c r="C32" s="5" t="s">
        <v>58</v>
      </c>
      <c r="D32" s="5" t="s">
        <v>19</v>
      </c>
      <c r="E32" s="5" t="str">
        <f t="shared" si="0"/>
        <v>Other</v>
      </c>
      <c r="F32" s="5" t="s">
        <v>59</v>
      </c>
      <c r="G32" s="5" t="s">
        <v>59</v>
      </c>
      <c r="H32" s="20"/>
      <c r="I32" s="20">
        <v>52800</v>
      </c>
      <c r="J32" s="21" t="s">
        <v>307</v>
      </c>
    </row>
    <row r="33" spans="1:10" x14ac:dyDescent="0.35">
      <c r="A33" s="59">
        <v>46075</v>
      </c>
      <c r="B33" s="5" t="s">
        <v>2</v>
      </c>
      <c r="C33" s="5" t="s">
        <v>60</v>
      </c>
      <c r="D33" s="5" t="s">
        <v>16</v>
      </c>
      <c r="E33" s="5" t="str">
        <f t="shared" si="0"/>
        <v>Cheque</v>
      </c>
      <c r="F33" s="5" t="s">
        <v>61</v>
      </c>
      <c r="G33" s="5" t="s">
        <v>61</v>
      </c>
      <c r="H33" s="20">
        <v>215300</v>
      </c>
      <c r="I33" s="20"/>
      <c r="J33" s="21" t="s">
        <v>284</v>
      </c>
    </row>
    <row r="34" spans="1:10" x14ac:dyDescent="0.35">
      <c r="A34" s="59">
        <v>46078</v>
      </c>
      <c r="B34" s="5" t="s">
        <v>2</v>
      </c>
      <c r="C34" s="5" t="s">
        <v>39</v>
      </c>
      <c r="D34" s="5" t="s">
        <v>22</v>
      </c>
      <c r="E34" s="5" t="str">
        <f t="shared" si="0"/>
        <v>Cheque</v>
      </c>
      <c r="F34" s="5" t="s">
        <v>62</v>
      </c>
      <c r="G34" s="5" t="s">
        <v>62</v>
      </c>
      <c r="H34" s="20"/>
      <c r="I34" s="20">
        <v>31200</v>
      </c>
      <c r="J34" s="21" t="s">
        <v>285</v>
      </c>
    </row>
    <row r="35" spans="1:10" x14ac:dyDescent="0.35">
      <c r="A35" s="59">
        <v>46079</v>
      </c>
      <c r="B35" s="5" t="s">
        <v>2</v>
      </c>
      <c r="C35" s="5" t="s">
        <v>41</v>
      </c>
      <c r="D35" s="5" t="s">
        <v>16</v>
      </c>
      <c r="E35" s="5" t="str">
        <f t="shared" si="0"/>
        <v>UPI</v>
      </c>
      <c r="F35" s="5" t="s">
        <v>63</v>
      </c>
      <c r="G35" s="5" t="s">
        <v>63</v>
      </c>
      <c r="H35" s="20">
        <v>21300</v>
      </c>
      <c r="I35" s="20"/>
      <c r="J35" s="21" t="s">
        <v>286</v>
      </c>
    </row>
    <row r="36" spans="1:10" x14ac:dyDescent="0.35">
      <c r="A36" s="59">
        <v>46084</v>
      </c>
      <c r="B36" s="5" t="s">
        <v>2</v>
      </c>
      <c r="C36" s="5" t="s">
        <v>43</v>
      </c>
      <c r="D36" s="5" t="s">
        <v>16</v>
      </c>
      <c r="E36" s="5" t="str">
        <f t="shared" si="0"/>
        <v>UPI</v>
      </c>
      <c r="F36" s="5" t="s">
        <v>64</v>
      </c>
      <c r="G36" s="5" t="s">
        <v>64</v>
      </c>
      <c r="H36" s="20">
        <v>24650</v>
      </c>
      <c r="I36" s="20"/>
      <c r="J36" s="21" t="s">
        <v>287</v>
      </c>
    </row>
    <row r="37" spans="1:10" x14ac:dyDescent="0.35">
      <c r="A37" s="59">
        <v>46086</v>
      </c>
      <c r="B37" s="5" t="s">
        <v>2</v>
      </c>
      <c r="C37" s="5" t="s">
        <v>21</v>
      </c>
      <c r="D37" s="5" t="s">
        <v>22</v>
      </c>
      <c r="E37" s="5" t="str">
        <f t="shared" si="0"/>
        <v>RTGS</v>
      </c>
      <c r="F37" s="5" t="s">
        <v>65</v>
      </c>
      <c r="G37" s="5" t="s">
        <v>65</v>
      </c>
      <c r="H37" s="20"/>
      <c r="I37" s="20">
        <v>195800</v>
      </c>
      <c r="J37" s="21" t="s">
        <v>288</v>
      </c>
    </row>
    <row r="38" spans="1:10" x14ac:dyDescent="0.35">
      <c r="A38" s="59">
        <v>46086</v>
      </c>
      <c r="B38" s="5" t="s">
        <v>2</v>
      </c>
      <c r="C38" s="5" t="s">
        <v>18</v>
      </c>
      <c r="D38" s="5" t="s">
        <v>19</v>
      </c>
      <c r="E38" s="5" t="str">
        <f t="shared" si="0"/>
        <v>Other</v>
      </c>
      <c r="F38" s="5" t="s">
        <v>66</v>
      </c>
      <c r="G38" s="5" t="s">
        <v>66</v>
      </c>
      <c r="H38" s="20"/>
      <c r="I38" s="20">
        <v>45000</v>
      </c>
      <c r="J38" s="21" t="s">
        <v>308</v>
      </c>
    </row>
    <row r="39" spans="1:10" x14ac:dyDescent="0.35">
      <c r="A39" s="59">
        <v>46090</v>
      </c>
      <c r="B39" s="5" t="s">
        <v>2</v>
      </c>
      <c r="C39" s="5" t="s">
        <v>55</v>
      </c>
      <c r="D39" s="5" t="s">
        <v>16</v>
      </c>
      <c r="E39" s="5" t="str">
        <f t="shared" si="0"/>
        <v>NEFT</v>
      </c>
      <c r="F39" s="5" t="s">
        <v>67</v>
      </c>
      <c r="G39" s="5" t="s">
        <v>67</v>
      </c>
      <c r="H39" s="20">
        <v>92500</v>
      </c>
      <c r="I39" s="20"/>
      <c r="J39" s="21" t="s">
        <v>289</v>
      </c>
    </row>
    <row r="40" spans="1:10" x14ac:dyDescent="0.35">
      <c r="A40" s="59">
        <v>46093</v>
      </c>
      <c r="B40" s="5" t="s">
        <v>2</v>
      </c>
      <c r="C40" s="5" t="s">
        <v>68</v>
      </c>
      <c r="D40" s="5" t="s">
        <v>16</v>
      </c>
      <c r="E40" s="5" t="str">
        <f t="shared" si="0"/>
        <v>NEFT</v>
      </c>
      <c r="F40" s="5" t="s">
        <v>69</v>
      </c>
      <c r="G40" s="5" t="s">
        <v>69</v>
      </c>
      <c r="H40" s="20">
        <v>58400</v>
      </c>
      <c r="I40" s="20"/>
      <c r="J40" s="21" t="s">
        <v>290</v>
      </c>
    </row>
    <row r="41" spans="1:10" x14ac:dyDescent="0.35">
      <c r="A41" s="59">
        <v>46095</v>
      </c>
      <c r="B41" s="5" t="s">
        <v>2</v>
      </c>
      <c r="C41" s="5" t="s">
        <v>70</v>
      </c>
      <c r="D41" s="5" t="s">
        <v>22</v>
      </c>
      <c r="E41" s="5" t="str">
        <f t="shared" si="0"/>
        <v>NEFT</v>
      </c>
      <c r="F41" s="5" t="s">
        <v>71</v>
      </c>
      <c r="G41" s="5" t="s">
        <v>71</v>
      </c>
      <c r="H41" s="20"/>
      <c r="I41" s="20">
        <v>122400</v>
      </c>
      <c r="J41" s="21" t="s">
        <v>291</v>
      </c>
    </row>
    <row r="42" spans="1:10" x14ac:dyDescent="0.35">
      <c r="A42" s="59">
        <v>46098</v>
      </c>
      <c r="B42" s="5" t="s">
        <v>2</v>
      </c>
      <c r="C42" s="5" t="s">
        <v>24</v>
      </c>
      <c r="D42" s="5" t="s">
        <v>16</v>
      </c>
      <c r="E42" s="5" t="str">
        <f t="shared" si="0"/>
        <v>NEFT</v>
      </c>
      <c r="F42" s="5" t="s">
        <v>72</v>
      </c>
      <c r="G42" s="5" t="s">
        <v>72</v>
      </c>
      <c r="H42" s="20">
        <v>78900</v>
      </c>
      <c r="I42" s="20"/>
      <c r="J42" s="21" t="s">
        <v>292</v>
      </c>
    </row>
    <row r="43" spans="1:10" x14ac:dyDescent="0.35">
      <c r="A43" s="59">
        <v>46100</v>
      </c>
      <c r="B43" s="5" t="s">
        <v>2</v>
      </c>
      <c r="C43" s="5" t="s">
        <v>73</v>
      </c>
      <c r="D43" s="5" t="s">
        <v>22</v>
      </c>
      <c r="E43" s="5" t="str">
        <f t="shared" si="0"/>
        <v>Other</v>
      </c>
      <c r="F43" s="5" t="s">
        <v>74</v>
      </c>
      <c r="G43" s="5" t="s">
        <v>74</v>
      </c>
      <c r="H43" s="20"/>
      <c r="I43" s="20">
        <v>8920</v>
      </c>
      <c r="J43" s="21" t="s">
        <v>293</v>
      </c>
    </row>
    <row r="44" spans="1:10" x14ac:dyDescent="0.35">
      <c r="A44" s="59">
        <v>46101</v>
      </c>
      <c r="B44" s="5" t="s">
        <v>2</v>
      </c>
      <c r="C44" s="5" t="s">
        <v>34</v>
      </c>
      <c r="D44" s="5" t="s">
        <v>22</v>
      </c>
      <c r="E44" s="5" t="str">
        <f t="shared" si="0"/>
        <v>Other</v>
      </c>
      <c r="F44" s="5" t="s">
        <v>75</v>
      </c>
      <c r="G44" s="5" t="s">
        <v>75</v>
      </c>
      <c r="H44" s="20"/>
      <c r="I44" s="20">
        <v>4500</v>
      </c>
      <c r="J44" s="21" t="s">
        <v>294</v>
      </c>
    </row>
    <row r="45" spans="1:10" x14ac:dyDescent="0.35">
      <c r="A45" s="59">
        <v>46101</v>
      </c>
      <c r="B45" s="5" t="s">
        <v>2</v>
      </c>
      <c r="C45" s="5" t="s">
        <v>76</v>
      </c>
      <c r="D45" s="5" t="s">
        <v>19</v>
      </c>
      <c r="E45" s="5" t="str">
        <f t="shared" si="0"/>
        <v>Other</v>
      </c>
      <c r="F45" s="5" t="s">
        <v>77</v>
      </c>
      <c r="G45" s="5" t="s">
        <v>77</v>
      </c>
      <c r="H45" s="20"/>
      <c r="I45" s="20">
        <v>48600</v>
      </c>
      <c r="J45" s="21" t="s">
        <v>295</v>
      </c>
    </row>
    <row r="46" spans="1:10" x14ac:dyDescent="0.35">
      <c r="A46" s="59">
        <v>46102</v>
      </c>
      <c r="B46" s="5" t="s">
        <v>2</v>
      </c>
      <c r="C46" s="5" t="s">
        <v>32</v>
      </c>
      <c r="D46" s="5" t="s">
        <v>16</v>
      </c>
      <c r="E46" s="5" t="str">
        <f t="shared" si="0"/>
        <v>NEFT</v>
      </c>
      <c r="F46" s="5" t="s">
        <v>78</v>
      </c>
      <c r="G46" s="5" t="s">
        <v>78</v>
      </c>
      <c r="H46" s="20">
        <v>145200</v>
      </c>
      <c r="I46" s="20"/>
      <c r="J46" s="21" t="s">
        <v>296</v>
      </c>
    </row>
    <row r="47" spans="1:10" x14ac:dyDescent="0.35">
      <c r="A47" s="59">
        <v>46104</v>
      </c>
      <c r="B47" s="5" t="s">
        <v>2</v>
      </c>
      <c r="C47" s="5" t="s">
        <v>28</v>
      </c>
      <c r="D47" s="5" t="s">
        <v>22</v>
      </c>
      <c r="E47" s="5" t="str">
        <f t="shared" si="0"/>
        <v>NEFT</v>
      </c>
      <c r="F47" s="5" t="s">
        <v>79</v>
      </c>
      <c r="G47" s="5" t="s">
        <v>79</v>
      </c>
      <c r="H47" s="20"/>
      <c r="I47" s="20">
        <v>34600</v>
      </c>
      <c r="J47" s="21" t="s">
        <v>297</v>
      </c>
    </row>
    <row r="48" spans="1:10" x14ac:dyDescent="0.35">
      <c r="A48" s="59">
        <v>46106</v>
      </c>
      <c r="B48" s="5" t="s">
        <v>2</v>
      </c>
      <c r="C48" s="5" t="s">
        <v>41</v>
      </c>
      <c r="D48" s="5" t="s">
        <v>16</v>
      </c>
      <c r="E48" s="5" t="str">
        <f t="shared" si="0"/>
        <v>UPI</v>
      </c>
      <c r="F48" s="5" t="s">
        <v>80</v>
      </c>
      <c r="G48" s="5" t="s">
        <v>80</v>
      </c>
      <c r="H48" s="20">
        <v>23700</v>
      </c>
      <c r="I48" s="20"/>
      <c r="J48" s="21" t="s">
        <v>298</v>
      </c>
    </row>
    <row r="49" spans="1:10" x14ac:dyDescent="0.35">
      <c r="A49" s="59">
        <v>46109</v>
      </c>
      <c r="B49" s="5" t="s">
        <v>2</v>
      </c>
      <c r="C49" s="5" t="s">
        <v>81</v>
      </c>
      <c r="D49" s="5" t="s">
        <v>22</v>
      </c>
      <c r="E49" s="5" t="str">
        <f t="shared" si="0"/>
        <v>Cheque</v>
      </c>
      <c r="F49" s="5" t="s">
        <v>82</v>
      </c>
      <c r="G49" s="5" t="s">
        <v>82</v>
      </c>
      <c r="H49" s="20"/>
      <c r="I49" s="20">
        <v>22500</v>
      </c>
      <c r="J49" s="21" t="s">
        <v>299</v>
      </c>
    </row>
    <row r="50" spans="1:10" x14ac:dyDescent="0.35">
      <c r="A50" s="60">
        <v>46109</v>
      </c>
      <c r="B50" s="61" t="s">
        <v>2</v>
      </c>
      <c r="C50" s="61" t="s">
        <v>83</v>
      </c>
      <c r="D50" s="61" t="s">
        <v>16</v>
      </c>
      <c r="E50" s="61" t="str">
        <f t="shared" si="0"/>
        <v>UPI</v>
      </c>
      <c r="F50" s="61" t="s">
        <v>84</v>
      </c>
      <c r="G50" s="61" t="s">
        <v>84</v>
      </c>
      <c r="H50" s="62">
        <v>41850</v>
      </c>
      <c r="I50" s="62"/>
      <c r="J50" s="63" t="s">
        <v>300</v>
      </c>
    </row>
    <row r="51" spans="1:10" x14ac:dyDescent="0.35">
      <c r="H51" s="15"/>
      <c r="I51" s="15"/>
      <c r="J51" s="16"/>
    </row>
    <row r="52" spans="1:10" ht="15" thickBot="1" x14ac:dyDescent="0.4">
      <c r="H52" s="17"/>
      <c r="I52" s="15"/>
      <c r="J52" s="16"/>
    </row>
    <row r="53" spans="1:10" ht="15" thickBot="1" x14ac:dyDescent="0.4">
      <c r="A53" s="112" t="s">
        <v>310</v>
      </c>
      <c r="B53" s="110"/>
      <c r="C53" s="113"/>
      <c r="D53" s="109"/>
      <c r="E53" s="110"/>
      <c r="F53" s="110"/>
      <c r="G53" s="111"/>
      <c r="H53" s="18">
        <v>1354750</v>
      </c>
      <c r="I53" s="18">
        <v>1318140</v>
      </c>
      <c r="J53" s="19"/>
    </row>
    <row r="54" spans="1:10" ht="15" thickBot="1" x14ac:dyDescent="0.4">
      <c r="A54" s="118" t="s">
        <v>86</v>
      </c>
      <c r="B54" s="108"/>
      <c r="C54" s="100" t="s">
        <v>87</v>
      </c>
      <c r="D54" s="106"/>
      <c r="E54" s="107"/>
      <c r="F54" s="107"/>
      <c r="G54" s="108"/>
      <c r="H54" s="101"/>
      <c r="I54" s="102"/>
      <c r="J54" s="103" t="s">
        <v>300</v>
      </c>
    </row>
    <row r="55" spans="1:10" x14ac:dyDescent="0.35">
      <c r="J55" s="14"/>
    </row>
    <row r="56" spans="1:10" x14ac:dyDescent="0.35">
      <c r="A56" s="104" t="s">
        <v>5</v>
      </c>
      <c r="B56" s="104"/>
      <c r="C56" s="104"/>
    </row>
  </sheetData>
  <mergeCells count="10">
    <mergeCell ref="D54:G54"/>
    <mergeCell ref="D53:G53"/>
    <mergeCell ref="A53:C53"/>
    <mergeCell ref="A56:C56"/>
    <mergeCell ref="A1:B1"/>
    <mergeCell ref="A2:B2"/>
    <mergeCell ref="A3:B3"/>
    <mergeCell ref="A4:B4"/>
    <mergeCell ref="A5:B5"/>
    <mergeCell ref="A54:B5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7D99-A82C-447C-83DF-3BEC4A5B563F}">
  <dimension ref="A1:H58"/>
  <sheetViews>
    <sheetView workbookViewId="0">
      <selection activeCell="C11" sqref="C11"/>
    </sheetView>
  </sheetViews>
  <sheetFormatPr defaultRowHeight="14.5" x14ac:dyDescent="0.35"/>
  <cols>
    <col min="1" max="1" width="18" customWidth="1"/>
    <col min="2" max="2" width="14.36328125" customWidth="1"/>
    <col min="3" max="3" width="51.54296875" bestFit="1" customWidth="1"/>
    <col min="4" max="4" width="18.1796875" bestFit="1" customWidth="1"/>
    <col min="5" max="5" width="16.453125" customWidth="1"/>
    <col min="6" max="6" width="12.6328125" customWidth="1"/>
    <col min="7" max="7" width="12.7265625" customWidth="1"/>
    <col min="8" max="8" width="10.26953125" bestFit="1" customWidth="1"/>
  </cols>
  <sheetData>
    <row r="1" spans="1:8" ht="18.5" x14ac:dyDescent="0.45">
      <c r="A1" s="119" t="s">
        <v>150</v>
      </c>
      <c r="B1" s="119"/>
      <c r="C1" s="120"/>
    </row>
    <row r="2" spans="1:8" ht="15.5" x14ac:dyDescent="0.35">
      <c r="A2" s="115" t="s">
        <v>0</v>
      </c>
      <c r="B2" s="115"/>
      <c r="C2" s="116"/>
      <c r="D2" s="13"/>
    </row>
    <row r="3" spans="1:8" ht="15.5" x14ac:dyDescent="0.35">
      <c r="A3" s="115" t="s">
        <v>153</v>
      </c>
      <c r="B3" s="115"/>
      <c r="C3" s="116"/>
      <c r="D3" s="13"/>
    </row>
    <row r="4" spans="1:8" ht="16" thickBot="1" x14ac:dyDescent="0.4">
      <c r="A4" s="117" t="s">
        <v>154</v>
      </c>
      <c r="B4" s="117"/>
      <c r="C4" s="121"/>
      <c r="D4" s="13"/>
    </row>
    <row r="5" spans="1:8" ht="15" thickTop="1" x14ac:dyDescent="0.35">
      <c r="A5" s="34"/>
    </row>
    <row r="6" spans="1:8" ht="16" thickBot="1" x14ac:dyDescent="0.4">
      <c r="A6" s="70" t="s">
        <v>14</v>
      </c>
      <c r="B6" s="71" t="s">
        <v>151</v>
      </c>
      <c r="C6" s="72" t="s">
        <v>152</v>
      </c>
      <c r="D6" s="71" t="s">
        <v>87</v>
      </c>
    </row>
    <row r="7" spans="1:8" ht="15" thickTop="1" x14ac:dyDescent="0.35">
      <c r="A7" s="73">
        <f>SUM(G11)</f>
        <v>247850.5</v>
      </c>
      <c r="B7" s="74">
        <f>SUM(F11,F12,F13,F14,F15,F16,F17,F19,F18,F20,F21,F22,F23,F24,F25,F26,F27,F28,F29,F30,F31,F32,F33,F34,F35,F36,F37,F38,F39,F40,F41,F42,F43,F44,F45,F46,F47,F48,F49,F50,F51,F52,F53,F53,F54,F55,F56,F57)</f>
        <v>1355975</v>
      </c>
      <c r="C7" s="74">
        <f>SUM(E11,E12,E13,E14,E15,E1,E16,E17,E18,E19,E20,E21,E22,E23,E24,E25,E26,E27,E28,E29,E30,E31,E32,E33,E34,E35,E36,E37,E38,E39,E40,E41,E42,E43,E44,E45,E46,E47,E48,E49,E50,E51,E52,E53,E54,E55,E56,E57)</f>
        <v>1339002</v>
      </c>
      <c r="D7" s="74">
        <f>SUM(G58)</f>
        <v>264823.5</v>
      </c>
      <c r="E7" s="2"/>
    </row>
    <row r="8" spans="1:8" ht="15" thickBot="1" x14ac:dyDescent="0.4"/>
    <row r="9" spans="1:8" ht="16.5" thickTop="1" thickBot="1" x14ac:dyDescent="0.4">
      <c r="A9" s="35" t="s">
        <v>155</v>
      </c>
      <c r="B9" s="23"/>
    </row>
    <row r="10" spans="1:8" ht="16.5" thickTop="1" thickBot="1" x14ac:dyDescent="0.4">
      <c r="A10" s="64" t="s">
        <v>6</v>
      </c>
      <c r="B10" s="32" t="s">
        <v>88</v>
      </c>
      <c r="C10" s="30" t="s">
        <v>89</v>
      </c>
      <c r="D10" s="28" t="s">
        <v>90</v>
      </c>
      <c r="E10" s="28" t="s">
        <v>156</v>
      </c>
      <c r="F10" s="28" t="s">
        <v>157</v>
      </c>
      <c r="G10" s="25" t="s">
        <v>91</v>
      </c>
      <c r="H10" s="24"/>
    </row>
    <row r="11" spans="1:8" ht="15" thickTop="1" x14ac:dyDescent="0.35">
      <c r="A11" s="58">
        <v>46023</v>
      </c>
      <c r="B11" s="33">
        <v>46023</v>
      </c>
      <c r="C11" s="93" t="s">
        <v>158</v>
      </c>
      <c r="D11" s="27"/>
      <c r="E11" s="29"/>
      <c r="F11" s="27"/>
      <c r="G11" s="26">
        <v>247850.5</v>
      </c>
    </row>
    <row r="12" spans="1:8" x14ac:dyDescent="0.35">
      <c r="A12" s="59">
        <v>46026</v>
      </c>
      <c r="B12" s="11">
        <v>46026</v>
      </c>
      <c r="C12" s="5" t="s">
        <v>161</v>
      </c>
      <c r="D12" s="22" t="s">
        <v>92</v>
      </c>
      <c r="E12" s="22"/>
      <c r="F12" s="22">
        <v>85400</v>
      </c>
      <c r="G12" s="22">
        <v>333250.5</v>
      </c>
      <c r="H12" s="2"/>
    </row>
    <row r="13" spans="1:8" x14ac:dyDescent="0.35">
      <c r="A13" s="59">
        <v>46027</v>
      </c>
      <c r="B13" s="11">
        <v>46027</v>
      </c>
      <c r="C13" s="5" t="s">
        <v>160</v>
      </c>
      <c r="D13" s="5" t="s">
        <v>93</v>
      </c>
      <c r="E13" s="22">
        <v>45000</v>
      </c>
      <c r="F13" s="5"/>
      <c r="G13" s="22">
        <v>288250.5</v>
      </c>
    </row>
    <row r="14" spans="1:8" x14ac:dyDescent="0.35">
      <c r="A14" s="59">
        <v>46029</v>
      </c>
      <c r="B14" s="11">
        <v>46029</v>
      </c>
      <c r="C14" s="5" t="s">
        <v>94</v>
      </c>
      <c r="D14" s="5" t="s">
        <v>162</v>
      </c>
      <c r="E14" s="22">
        <v>185000</v>
      </c>
      <c r="F14" s="5"/>
      <c r="G14" s="22">
        <v>103250.5</v>
      </c>
    </row>
    <row r="15" spans="1:8" x14ac:dyDescent="0.35">
      <c r="A15" s="65">
        <v>46032</v>
      </c>
      <c r="B15" s="11">
        <v>46032</v>
      </c>
      <c r="C15" s="5" t="s">
        <v>163</v>
      </c>
      <c r="D15" s="5" t="s">
        <v>95</v>
      </c>
      <c r="E15" s="5"/>
      <c r="F15" s="22">
        <v>68500</v>
      </c>
      <c r="G15" s="22">
        <v>171750.5</v>
      </c>
    </row>
    <row r="16" spans="1:8" x14ac:dyDescent="0.35">
      <c r="A16" s="65">
        <v>46036</v>
      </c>
      <c r="B16" s="11">
        <v>46036</v>
      </c>
      <c r="C16" s="5" t="s">
        <v>164</v>
      </c>
      <c r="D16" s="5" t="s">
        <v>96</v>
      </c>
      <c r="E16" s="5"/>
      <c r="F16" s="22">
        <v>42600</v>
      </c>
      <c r="G16" s="22">
        <v>214350.5</v>
      </c>
    </row>
    <row r="17" spans="1:7" x14ac:dyDescent="0.35">
      <c r="A17" s="65">
        <v>46036</v>
      </c>
      <c r="B17" s="11">
        <v>46036</v>
      </c>
      <c r="C17" s="5" t="s">
        <v>165</v>
      </c>
      <c r="D17" s="5" t="s">
        <v>97</v>
      </c>
      <c r="E17" s="22">
        <v>32400</v>
      </c>
      <c r="F17" s="5"/>
      <c r="G17" s="22">
        <v>181950.5</v>
      </c>
    </row>
    <row r="18" spans="1:7" x14ac:dyDescent="0.35">
      <c r="A18" s="65">
        <v>46037</v>
      </c>
      <c r="B18" s="11">
        <v>46037</v>
      </c>
      <c r="C18" s="5" t="s">
        <v>98</v>
      </c>
      <c r="D18" s="5" t="s">
        <v>99</v>
      </c>
      <c r="E18" s="22">
        <v>8240</v>
      </c>
      <c r="F18" s="5"/>
      <c r="G18" s="22">
        <v>173710.5</v>
      </c>
    </row>
    <row r="19" spans="1:7" x14ac:dyDescent="0.35">
      <c r="A19" s="65">
        <v>46040</v>
      </c>
      <c r="B19" s="11">
        <v>46040</v>
      </c>
      <c r="C19" s="5" t="s">
        <v>166</v>
      </c>
      <c r="D19" s="5" t="s">
        <v>100</v>
      </c>
      <c r="E19" s="5"/>
      <c r="F19" s="22">
        <v>128750</v>
      </c>
      <c r="G19" s="22">
        <v>302460.5</v>
      </c>
    </row>
    <row r="20" spans="1:7" x14ac:dyDescent="0.35">
      <c r="A20" s="65">
        <v>46042</v>
      </c>
      <c r="B20" s="11">
        <v>46042</v>
      </c>
      <c r="C20" s="5" t="s">
        <v>101</v>
      </c>
      <c r="D20" s="5" t="s">
        <v>102</v>
      </c>
      <c r="E20" s="22">
        <v>4500</v>
      </c>
      <c r="F20" s="5"/>
      <c r="G20" s="22">
        <v>297960.5</v>
      </c>
    </row>
    <row r="21" spans="1:7" x14ac:dyDescent="0.35">
      <c r="A21" s="65">
        <v>46042</v>
      </c>
      <c r="B21" s="11">
        <v>46042</v>
      </c>
      <c r="C21" s="5" t="s">
        <v>103</v>
      </c>
      <c r="D21" s="5" t="s">
        <v>104</v>
      </c>
      <c r="E21" s="22">
        <v>47500</v>
      </c>
      <c r="F21" s="5"/>
      <c r="G21" s="22">
        <v>250460.5</v>
      </c>
    </row>
    <row r="22" spans="1:7" x14ac:dyDescent="0.35">
      <c r="A22" s="65">
        <v>46044</v>
      </c>
      <c r="B22" s="11">
        <v>46044</v>
      </c>
      <c r="C22" s="5" t="s">
        <v>105</v>
      </c>
      <c r="D22" s="5" t="s">
        <v>106</v>
      </c>
      <c r="E22" s="22">
        <v>28700</v>
      </c>
      <c r="F22" s="5"/>
      <c r="G22" s="22">
        <v>221760.5</v>
      </c>
    </row>
    <row r="23" spans="1:7" x14ac:dyDescent="0.35">
      <c r="A23" s="65">
        <v>46046</v>
      </c>
      <c r="B23" s="11">
        <v>46046</v>
      </c>
      <c r="C23" s="5" t="s">
        <v>167</v>
      </c>
      <c r="D23" s="5" t="s">
        <v>107</v>
      </c>
      <c r="E23" s="22"/>
      <c r="F23" s="22">
        <v>19400</v>
      </c>
      <c r="G23" s="22">
        <v>241160.5</v>
      </c>
    </row>
    <row r="24" spans="1:7" x14ac:dyDescent="0.35">
      <c r="A24" s="65">
        <v>46051</v>
      </c>
      <c r="B24" s="11">
        <v>46051</v>
      </c>
      <c r="C24" s="5" t="s">
        <v>108</v>
      </c>
      <c r="D24" s="5" t="s">
        <v>109</v>
      </c>
      <c r="E24" s="22"/>
      <c r="F24" s="22">
        <v>18900</v>
      </c>
      <c r="G24" s="22">
        <v>260060.5</v>
      </c>
    </row>
    <row r="25" spans="1:7" x14ac:dyDescent="0.35">
      <c r="A25" s="65">
        <v>46053</v>
      </c>
      <c r="B25" s="11">
        <v>46053</v>
      </c>
      <c r="C25" s="5" t="s">
        <v>110</v>
      </c>
      <c r="D25" s="5" t="s">
        <v>111</v>
      </c>
      <c r="E25" s="5"/>
      <c r="F25" s="5">
        <v>412</v>
      </c>
      <c r="G25" s="22">
        <v>260472.5</v>
      </c>
    </row>
    <row r="26" spans="1:7" x14ac:dyDescent="0.35">
      <c r="A26" s="65">
        <v>46053</v>
      </c>
      <c r="B26" s="11">
        <v>46053</v>
      </c>
      <c r="C26" s="5" t="s">
        <v>112</v>
      </c>
      <c r="D26" s="5" t="s">
        <v>113</v>
      </c>
      <c r="E26" s="5">
        <v>472</v>
      </c>
      <c r="F26" s="5"/>
      <c r="G26" s="22">
        <v>260000.5</v>
      </c>
    </row>
    <row r="27" spans="1:7" x14ac:dyDescent="0.35">
      <c r="A27" s="65">
        <v>46056</v>
      </c>
      <c r="B27" s="11">
        <v>46056</v>
      </c>
      <c r="C27" s="5" t="s">
        <v>94</v>
      </c>
      <c r="D27" s="5" t="s">
        <v>168</v>
      </c>
      <c r="E27" s="22">
        <v>205000</v>
      </c>
      <c r="F27" s="5"/>
      <c r="G27" s="22">
        <v>55000.5</v>
      </c>
    </row>
    <row r="28" spans="1:7" x14ac:dyDescent="0.35">
      <c r="A28" s="65">
        <v>46058</v>
      </c>
      <c r="B28" s="11">
        <v>46058</v>
      </c>
      <c r="C28" s="5" t="s">
        <v>160</v>
      </c>
      <c r="D28" s="5" t="s">
        <v>114</v>
      </c>
      <c r="E28" s="22">
        <v>45000</v>
      </c>
      <c r="F28" s="5"/>
      <c r="G28" s="22">
        <v>10000.5</v>
      </c>
    </row>
    <row r="29" spans="1:7" x14ac:dyDescent="0.35">
      <c r="A29" s="65">
        <v>46059</v>
      </c>
      <c r="B29" s="11">
        <v>46059</v>
      </c>
      <c r="C29" s="5" t="s">
        <v>169</v>
      </c>
      <c r="D29" s="5" t="s">
        <v>115</v>
      </c>
      <c r="E29" s="5"/>
      <c r="F29" s="22">
        <v>35200</v>
      </c>
      <c r="G29" s="22">
        <v>45200.5</v>
      </c>
    </row>
    <row r="30" spans="1:7" x14ac:dyDescent="0.35">
      <c r="A30" s="65">
        <v>46061</v>
      </c>
      <c r="B30" s="11">
        <v>46061</v>
      </c>
      <c r="C30" s="5" t="s">
        <v>170</v>
      </c>
      <c r="D30" s="5" t="s">
        <v>116</v>
      </c>
      <c r="E30" s="5"/>
      <c r="F30" s="22">
        <v>72800</v>
      </c>
      <c r="G30" s="22">
        <v>118000.5</v>
      </c>
    </row>
    <row r="31" spans="1:7" x14ac:dyDescent="0.35">
      <c r="A31" s="65">
        <v>46063</v>
      </c>
      <c r="B31" s="11">
        <v>46063</v>
      </c>
      <c r="C31" s="5" t="s">
        <v>171</v>
      </c>
      <c r="D31" s="5" t="s">
        <v>117</v>
      </c>
      <c r="E31" s="22">
        <v>140500</v>
      </c>
      <c r="F31" s="5"/>
      <c r="G31" s="22">
        <v>-22499.5</v>
      </c>
    </row>
    <row r="32" spans="1:7" x14ac:dyDescent="0.35">
      <c r="A32" s="65">
        <v>46068</v>
      </c>
      <c r="B32" s="11">
        <v>46068</v>
      </c>
      <c r="C32" s="5" t="s">
        <v>172</v>
      </c>
      <c r="D32" s="5" t="s">
        <v>118</v>
      </c>
      <c r="E32" s="5"/>
      <c r="F32" s="22">
        <v>92800</v>
      </c>
      <c r="G32" s="22">
        <v>70300.5</v>
      </c>
    </row>
    <row r="33" spans="1:7" x14ac:dyDescent="0.35">
      <c r="A33" s="65">
        <v>46070</v>
      </c>
      <c r="B33" s="11">
        <v>46070</v>
      </c>
      <c r="C33" s="5" t="s">
        <v>165</v>
      </c>
      <c r="D33" s="5" t="s">
        <v>119</v>
      </c>
      <c r="E33" s="22">
        <v>38600</v>
      </c>
      <c r="F33" s="5"/>
      <c r="G33" s="22">
        <v>31700.5</v>
      </c>
    </row>
    <row r="34" spans="1:7" x14ac:dyDescent="0.35">
      <c r="A34" s="65">
        <v>46071</v>
      </c>
      <c r="B34" s="11">
        <v>46071</v>
      </c>
      <c r="C34" s="5" t="s">
        <v>120</v>
      </c>
      <c r="D34" s="5" t="s">
        <v>121</v>
      </c>
      <c r="E34" s="22">
        <v>9180</v>
      </c>
      <c r="F34" s="5"/>
      <c r="G34" s="22">
        <v>22520.5</v>
      </c>
    </row>
    <row r="35" spans="1:7" x14ac:dyDescent="0.35">
      <c r="A35" s="65">
        <v>46072</v>
      </c>
      <c r="B35" s="11">
        <v>46072</v>
      </c>
      <c r="C35" s="5" t="s">
        <v>173</v>
      </c>
      <c r="D35" s="5" t="s">
        <v>122</v>
      </c>
      <c r="E35" s="5"/>
      <c r="F35" s="22">
        <v>88600</v>
      </c>
      <c r="G35" s="22">
        <v>111120.5</v>
      </c>
    </row>
    <row r="36" spans="1:7" x14ac:dyDescent="0.35">
      <c r="A36" s="65">
        <v>46073</v>
      </c>
      <c r="B36" s="11">
        <v>46073</v>
      </c>
      <c r="C36" s="5" t="s">
        <v>101</v>
      </c>
      <c r="D36" s="5" t="s">
        <v>123</v>
      </c>
      <c r="E36" s="22">
        <v>4500</v>
      </c>
      <c r="F36" s="5"/>
      <c r="G36" s="22">
        <v>106620.5</v>
      </c>
    </row>
    <row r="37" spans="1:7" x14ac:dyDescent="0.35">
      <c r="A37" s="65">
        <v>46073</v>
      </c>
      <c r="B37" s="11">
        <v>46073</v>
      </c>
      <c r="C37" s="5" t="s">
        <v>103</v>
      </c>
      <c r="D37" s="5" t="s">
        <v>124</v>
      </c>
      <c r="E37" s="22">
        <v>52800</v>
      </c>
      <c r="F37" s="5"/>
      <c r="G37" s="22">
        <v>53820.5</v>
      </c>
    </row>
    <row r="38" spans="1:7" x14ac:dyDescent="0.35">
      <c r="A38" s="65">
        <v>46077</v>
      </c>
      <c r="B38" s="11">
        <v>46077</v>
      </c>
      <c r="C38" s="5" t="s">
        <v>125</v>
      </c>
      <c r="D38" s="5" t="s">
        <v>126</v>
      </c>
      <c r="E38" s="5"/>
      <c r="F38" s="22">
        <v>215300</v>
      </c>
      <c r="G38" s="22">
        <v>269120.5</v>
      </c>
    </row>
    <row r="39" spans="1:7" x14ac:dyDescent="0.35">
      <c r="A39" s="65">
        <v>46078</v>
      </c>
      <c r="B39" s="11">
        <v>46078</v>
      </c>
      <c r="C39" s="5" t="s">
        <v>127</v>
      </c>
      <c r="D39" s="5" t="s">
        <v>128</v>
      </c>
      <c r="E39" s="22">
        <v>31200</v>
      </c>
      <c r="F39" s="5"/>
      <c r="G39" s="22">
        <v>237920.5</v>
      </c>
    </row>
    <row r="40" spans="1:7" x14ac:dyDescent="0.35">
      <c r="A40" s="65">
        <v>46079</v>
      </c>
      <c r="B40" s="11">
        <v>46079</v>
      </c>
      <c r="C40" s="5" t="s">
        <v>174</v>
      </c>
      <c r="D40" s="5" t="s">
        <v>129</v>
      </c>
      <c r="E40" s="5"/>
      <c r="F40" s="22">
        <v>21300</v>
      </c>
      <c r="G40" s="22">
        <v>259220.5</v>
      </c>
    </row>
    <row r="41" spans="1:7" x14ac:dyDescent="0.35">
      <c r="A41" s="65">
        <v>46081</v>
      </c>
      <c r="B41" s="11">
        <v>46081</v>
      </c>
      <c r="C41" s="5" t="s">
        <v>130</v>
      </c>
      <c r="D41" s="5" t="s">
        <v>131</v>
      </c>
      <c r="E41" s="5"/>
      <c r="F41" s="5">
        <v>385</v>
      </c>
      <c r="G41" s="22">
        <v>259605.5</v>
      </c>
    </row>
    <row r="42" spans="1:7" x14ac:dyDescent="0.35">
      <c r="A42" s="65">
        <v>46084</v>
      </c>
      <c r="B42" s="11">
        <v>46084</v>
      </c>
      <c r="C42" s="5" t="s">
        <v>132</v>
      </c>
      <c r="D42" s="5" t="s">
        <v>133</v>
      </c>
      <c r="E42" s="5"/>
      <c r="F42" s="22">
        <v>24650</v>
      </c>
      <c r="G42" s="22">
        <v>284255.5</v>
      </c>
    </row>
    <row r="43" spans="1:7" x14ac:dyDescent="0.35">
      <c r="A43" s="65">
        <v>46086</v>
      </c>
      <c r="B43" s="11">
        <v>46086</v>
      </c>
      <c r="C43" s="5" t="s">
        <v>94</v>
      </c>
      <c r="D43" s="5" t="s">
        <v>175</v>
      </c>
      <c r="E43" s="22">
        <v>195800</v>
      </c>
      <c r="F43" s="5"/>
      <c r="G43" s="22">
        <v>88455.5</v>
      </c>
    </row>
    <row r="44" spans="1:7" x14ac:dyDescent="0.35">
      <c r="A44" s="65">
        <v>46086</v>
      </c>
      <c r="B44" s="11">
        <v>46086</v>
      </c>
      <c r="C44" s="5" t="s">
        <v>160</v>
      </c>
      <c r="D44" s="5" t="s">
        <v>134</v>
      </c>
      <c r="E44" s="22">
        <v>45000</v>
      </c>
      <c r="F44" s="5"/>
      <c r="G44" s="22">
        <v>43455.5</v>
      </c>
    </row>
    <row r="45" spans="1:7" x14ac:dyDescent="0.35">
      <c r="A45" s="65">
        <v>46090</v>
      </c>
      <c r="B45" s="11">
        <v>46090</v>
      </c>
      <c r="C45" s="5" t="s">
        <v>176</v>
      </c>
      <c r="D45" s="5" t="s">
        <v>135</v>
      </c>
      <c r="E45" s="5"/>
      <c r="F45" s="22">
        <v>92500</v>
      </c>
      <c r="G45" s="22">
        <v>135955.5</v>
      </c>
    </row>
    <row r="46" spans="1:7" x14ac:dyDescent="0.35">
      <c r="A46" s="65">
        <v>46093</v>
      </c>
      <c r="B46" s="11">
        <v>46093</v>
      </c>
      <c r="C46" s="5" t="s">
        <v>177</v>
      </c>
      <c r="D46" s="5" t="s">
        <v>136</v>
      </c>
      <c r="E46" s="5"/>
      <c r="F46" s="22">
        <v>58400</v>
      </c>
      <c r="G46" s="22">
        <v>194355.5</v>
      </c>
    </row>
    <row r="47" spans="1:7" x14ac:dyDescent="0.35">
      <c r="A47" s="65">
        <v>46095</v>
      </c>
      <c r="B47" s="11">
        <v>46095</v>
      </c>
      <c r="C47" s="5" t="s">
        <v>178</v>
      </c>
      <c r="D47" s="5" t="s">
        <v>137</v>
      </c>
      <c r="E47" s="22">
        <v>122400</v>
      </c>
      <c r="F47" s="5"/>
      <c r="G47" s="22">
        <v>71955.5</v>
      </c>
    </row>
    <row r="48" spans="1:7" x14ac:dyDescent="0.35">
      <c r="A48" s="65">
        <v>46098</v>
      </c>
      <c r="B48" s="11">
        <v>46098</v>
      </c>
      <c r="C48" s="5" t="s">
        <v>179</v>
      </c>
      <c r="D48" s="5" t="s">
        <v>138</v>
      </c>
      <c r="E48" s="5"/>
      <c r="F48" s="22">
        <v>78900</v>
      </c>
      <c r="G48" s="22">
        <v>150855.5</v>
      </c>
    </row>
    <row r="49" spans="1:8" x14ac:dyDescent="0.35">
      <c r="A49" s="65">
        <v>46100</v>
      </c>
      <c r="B49" s="11">
        <v>46100</v>
      </c>
      <c r="C49" s="5" t="s">
        <v>139</v>
      </c>
      <c r="D49" s="5" t="s">
        <v>140</v>
      </c>
      <c r="E49" s="22">
        <v>8920</v>
      </c>
      <c r="F49" s="5"/>
      <c r="G49" s="22">
        <v>141935.5</v>
      </c>
    </row>
    <row r="50" spans="1:8" x14ac:dyDescent="0.35">
      <c r="A50" s="65">
        <v>46101</v>
      </c>
      <c r="B50" s="11">
        <v>46101</v>
      </c>
      <c r="C50" s="5" t="s">
        <v>101</v>
      </c>
      <c r="D50" s="5" t="s">
        <v>141</v>
      </c>
      <c r="E50" s="22">
        <v>4500</v>
      </c>
      <c r="F50" s="5"/>
      <c r="G50" s="22">
        <v>137435.5</v>
      </c>
    </row>
    <row r="51" spans="1:8" x14ac:dyDescent="0.35">
      <c r="A51" s="65">
        <v>46101</v>
      </c>
      <c r="B51" s="11">
        <v>46101</v>
      </c>
      <c r="C51" s="5" t="s">
        <v>103</v>
      </c>
      <c r="D51" s="5" t="s">
        <v>142</v>
      </c>
      <c r="E51" s="22">
        <v>48600</v>
      </c>
      <c r="F51" s="5"/>
      <c r="G51" s="22">
        <v>88835.5</v>
      </c>
    </row>
    <row r="52" spans="1:8" x14ac:dyDescent="0.35">
      <c r="A52" s="65">
        <v>46102</v>
      </c>
      <c r="B52" s="11">
        <v>46102</v>
      </c>
      <c r="C52" s="5" t="s">
        <v>180</v>
      </c>
      <c r="D52" s="5" t="s">
        <v>143</v>
      </c>
      <c r="E52" s="5"/>
      <c r="F52" s="22">
        <v>145200</v>
      </c>
      <c r="G52" s="22">
        <v>234035.5</v>
      </c>
      <c r="H52" s="2"/>
    </row>
    <row r="53" spans="1:8" x14ac:dyDescent="0.35">
      <c r="A53" s="65">
        <v>46104</v>
      </c>
      <c r="B53" s="11">
        <v>46104</v>
      </c>
      <c r="C53" s="5" t="s">
        <v>165</v>
      </c>
      <c r="D53" s="5" t="s">
        <v>144</v>
      </c>
      <c r="E53" s="22">
        <v>34600</v>
      </c>
      <c r="F53" s="5"/>
      <c r="G53" s="22">
        <v>199435.5</v>
      </c>
    </row>
    <row r="54" spans="1:8" x14ac:dyDescent="0.35">
      <c r="A54" s="65">
        <v>46106</v>
      </c>
      <c r="B54" s="11">
        <v>46106</v>
      </c>
      <c r="C54" s="5" t="s">
        <v>181</v>
      </c>
      <c r="D54" s="5" t="s">
        <v>145</v>
      </c>
      <c r="E54" s="22"/>
      <c r="F54" s="22">
        <v>23700</v>
      </c>
      <c r="G54" s="22">
        <v>223135.5</v>
      </c>
    </row>
    <row r="55" spans="1:8" x14ac:dyDescent="0.35">
      <c r="A55" s="65">
        <v>46109</v>
      </c>
      <c r="B55" s="11">
        <v>46109</v>
      </c>
      <c r="C55" s="5" t="s">
        <v>182</v>
      </c>
      <c r="D55" s="5" t="s">
        <v>146</v>
      </c>
      <c r="E55" s="5"/>
      <c r="F55" s="22">
        <v>41850</v>
      </c>
      <c r="G55" s="22">
        <v>264985.5</v>
      </c>
    </row>
    <row r="56" spans="1:8" x14ac:dyDescent="0.35">
      <c r="A56" s="65">
        <v>46112</v>
      </c>
      <c r="B56" s="11">
        <v>46112</v>
      </c>
      <c r="C56" s="5" t="s">
        <v>147</v>
      </c>
      <c r="D56" s="5" t="s">
        <v>148</v>
      </c>
      <c r="E56" s="5"/>
      <c r="F56" s="5">
        <v>428</v>
      </c>
      <c r="G56" s="22">
        <v>265413.5</v>
      </c>
    </row>
    <row r="57" spans="1:8" x14ac:dyDescent="0.35">
      <c r="A57" s="65">
        <v>46112</v>
      </c>
      <c r="B57" s="11">
        <v>46112</v>
      </c>
      <c r="C57" s="5" t="s">
        <v>112</v>
      </c>
      <c r="D57" s="5" t="s">
        <v>149</v>
      </c>
      <c r="E57" s="5">
        <v>590</v>
      </c>
      <c r="F57" s="5"/>
      <c r="G57" s="22">
        <v>264823.5</v>
      </c>
    </row>
    <row r="58" spans="1:8" x14ac:dyDescent="0.35">
      <c r="A58" s="66">
        <v>46112</v>
      </c>
      <c r="B58" s="67">
        <v>46112</v>
      </c>
      <c r="C58" s="68" t="s">
        <v>183</v>
      </c>
      <c r="D58" s="61"/>
      <c r="E58" s="61"/>
      <c r="F58" s="61"/>
      <c r="G58" s="69">
        <v>264823.5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047D-540E-4431-B8A1-36A68A951E97}">
  <dimension ref="A1:F50"/>
  <sheetViews>
    <sheetView workbookViewId="0">
      <selection activeCell="I7" sqref="I7"/>
    </sheetView>
  </sheetViews>
  <sheetFormatPr defaultRowHeight="14.5" x14ac:dyDescent="0.35"/>
  <cols>
    <col min="1" max="1" width="10.81640625" style="1" bestFit="1" customWidth="1"/>
    <col min="2" max="2" width="31.26953125" bestFit="1" customWidth="1"/>
    <col min="3" max="4" width="16.1796875" style="4" customWidth="1"/>
    <col min="5" max="5" width="9.7265625" customWidth="1"/>
    <col min="6" max="6" width="18.1796875" bestFit="1" customWidth="1"/>
  </cols>
  <sheetData>
    <row r="1" spans="1:6" ht="16" thickBot="1" x14ac:dyDescent="0.4">
      <c r="A1" s="75" t="s">
        <v>6</v>
      </c>
      <c r="B1" s="76" t="s">
        <v>184</v>
      </c>
      <c r="C1" s="77" t="s">
        <v>185</v>
      </c>
      <c r="D1" s="77" t="s">
        <v>186</v>
      </c>
      <c r="E1" s="72" t="s">
        <v>187</v>
      </c>
      <c r="F1" s="72" t="s">
        <v>188</v>
      </c>
    </row>
    <row r="2" spans="1:6" ht="15" thickTop="1" x14ac:dyDescent="0.35">
      <c r="A2" s="47">
        <v>46023</v>
      </c>
      <c r="B2" s="48" t="s">
        <v>14</v>
      </c>
      <c r="C2" s="49">
        <v>240000</v>
      </c>
      <c r="D2" s="49">
        <v>247850</v>
      </c>
      <c r="E2" s="27" t="s">
        <v>200</v>
      </c>
      <c r="F2" s="27" t="s">
        <v>209</v>
      </c>
    </row>
    <row r="3" spans="1:6" x14ac:dyDescent="0.35">
      <c r="A3" s="11">
        <v>46026</v>
      </c>
      <c r="B3" s="44" t="s">
        <v>189</v>
      </c>
      <c r="C3" s="10">
        <v>85400</v>
      </c>
      <c r="D3" s="10">
        <v>85400</v>
      </c>
      <c r="E3" s="5" t="s">
        <v>193</v>
      </c>
      <c r="F3" s="5" t="s">
        <v>320</v>
      </c>
    </row>
    <row r="4" spans="1:6" x14ac:dyDescent="0.35">
      <c r="A4" s="11">
        <v>46027</v>
      </c>
      <c r="B4" s="5" t="s">
        <v>190</v>
      </c>
      <c r="C4" s="45">
        <v>45000</v>
      </c>
      <c r="D4" s="10">
        <v>45000</v>
      </c>
      <c r="E4" s="5" t="s">
        <v>193</v>
      </c>
      <c r="F4" s="5" t="s">
        <v>320</v>
      </c>
    </row>
    <row r="5" spans="1:6" x14ac:dyDescent="0.35">
      <c r="A5" s="11">
        <v>46029</v>
      </c>
      <c r="B5" s="5" t="s">
        <v>191</v>
      </c>
      <c r="C5" s="10">
        <v>185000</v>
      </c>
      <c r="D5" s="10">
        <v>185000</v>
      </c>
      <c r="E5" s="5" t="s">
        <v>193</v>
      </c>
      <c r="F5" t="s">
        <v>320</v>
      </c>
    </row>
    <row r="6" spans="1:6" x14ac:dyDescent="0.35">
      <c r="A6" s="11">
        <v>46032</v>
      </c>
      <c r="B6" s="11" t="s">
        <v>192</v>
      </c>
      <c r="C6" s="46">
        <v>68500</v>
      </c>
      <c r="D6" s="10">
        <v>68500</v>
      </c>
      <c r="E6" s="5" t="s">
        <v>193</v>
      </c>
      <c r="F6" t="s">
        <v>320</v>
      </c>
    </row>
    <row r="7" spans="1:6" x14ac:dyDescent="0.35">
      <c r="A7" s="11">
        <v>46032</v>
      </c>
      <c r="B7" s="5" t="s">
        <v>194</v>
      </c>
      <c r="C7" s="46">
        <v>42600</v>
      </c>
      <c r="D7" s="10">
        <v>42600</v>
      </c>
      <c r="E7" s="5" t="s">
        <v>193</v>
      </c>
      <c r="F7" s="5" t="s">
        <v>320</v>
      </c>
    </row>
    <row r="8" spans="1:6" x14ac:dyDescent="0.35">
      <c r="A8" s="11">
        <v>46036</v>
      </c>
      <c r="B8" s="5" t="s">
        <v>195</v>
      </c>
      <c r="C8" s="10">
        <v>32400</v>
      </c>
      <c r="D8" s="10">
        <v>32400</v>
      </c>
      <c r="E8" s="5" t="s">
        <v>193</v>
      </c>
      <c r="F8" s="5" t="s">
        <v>320</v>
      </c>
    </row>
    <row r="9" spans="1:6" x14ac:dyDescent="0.35">
      <c r="A9" s="11">
        <v>46037</v>
      </c>
      <c r="B9" s="5" t="s">
        <v>196</v>
      </c>
      <c r="C9" s="10">
        <v>8240</v>
      </c>
      <c r="D9" s="10">
        <v>8240</v>
      </c>
      <c r="E9" s="5" t="s">
        <v>193</v>
      </c>
      <c r="F9" s="5" t="s">
        <v>320</v>
      </c>
    </row>
    <row r="10" spans="1:6" x14ac:dyDescent="0.35">
      <c r="A10" s="11">
        <v>46040</v>
      </c>
      <c r="B10" s="5" t="s">
        <v>197</v>
      </c>
      <c r="C10" s="10">
        <v>128750</v>
      </c>
      <c r="D10" s="10">
        <v>128750</v>
      </c>
      <c r="E10" s="5" t="s">
        <v>193</v>
      </c>
      <c r="F10" s="5" t="s">
        <v>320</v>
      </c>
    </row>
    <row r="11" spans="1:6" x14ac:dyDescent="0.35">
      <c r="A11" s="11">
        <v>46042</v>
      </c>
      <c r="B11" s="5" t="s">
        <v>198</v>
      </c>
      <c r="C11" s="10">
        <v>4500</v>
      </c>
      <c r="D11" s="10">
        <v>4500</v>
      </c>
      <c r="E11" s="5" t="s">
        <v>193</v>
      </c>
      <c r="F11" s="5" t="s">
        <v>320</v>
      </c>
    </row>
    <row r="12" spans="1:6" x14ac:dyDescent="0.35">
      <c r="A12" s="11">
        <v>46042</v>
      </c>
      <c r="B12" s="5" t="s">
        <v>199</v>
      </c>
      <c r="C12" s="10">
        <v>47500</v>
      </c>
      <c r="D12" s="10">
        <v>47500</v>
      </c>
      <c r="E12" s="5" t="s">
        <v>193</v>
      </c>
      <c r="F12" s="5" t="s">
        <v>320</v>
      </c>
    </row>
    <row r="13" spans="1:6" x14ac:dyDescent="0.35">
      <c r="A13" s="11">
        <v>46043</v>
      </c>
      <c r="B13" s="5" t="s">
        <v>198</v>
      </c>
      <c r="C13" s="10">
        <v>4500</v>
      </c>
      <c r="D13" s="10">
        <v>0</v>
      </c>
      <c r="E13" s="5" t="s">
        <v>200</v>
      </c>
      <c r="F13" s="5" t="s">
        <v>220</v>
      </c>
    </row>
    <row r="14" spans="1:6" x14ac:dyDescent="0.35">
      <c r="A14" s="11">
        <v>46044</v>
      </c>
      <c r="B14" s="5" t="s">
        <v>201</v>
      </c>
      <c r="C14" s="10">
        <v>28700</v>
      </c>
      <c r="D14" s="10">
        <v>28700</v>
      </c>
      <c r="E14" s="5" t="s">
        <v>193</v>
      </c>
      <c r="F14" s="5" t="s">
        <v>320</v>
      </c>
    </row>
    <row r="15" spans="1:6" x14ac:dyDescent="0.35">
      <c r="A15" s="11">
        <v>46046</v>
      </c>
      <c r="B15" s="5" t="s">
        <v>203</v>
      </c>
      <c r="C15" s="10">
        <v>19400</v>
      </c>
      <c r="D15" s="10">
        <v>19400</v>
      </c>
      <c r="E15" s="5" t="s">
        <v>193</v>
      </c>
      <c r="F15" s="5" t="s">
        <v>320</v>
      </c>
    </row>
    <row r="16" spans="1:6" x14ac:dyDescent="0.35">
      <c r="A16" s="11">
        <v>46051</v>
      </c>
      <c r="B16" s="5" t="s">
        <v>204</v>
      </c>
      <c r="C16" s="10">
        <v>18900</v>
      </c>
      <c r="D16" s="10">
        <v>18900</v>
      </c>
      <c r="E16" s="5" t="s">
        <v>193</v>
      </c>
      <c r="F16" s="5" t="s">
        <v>320</v>
      </c>
    </row>
    <row r="17" spans="1:6" x14ac:dyDescent="0.35">
      <c r="A17" s="11">
        <v>46053</v>
      </c>
      <c r="B17" s="5" t="s">
        <v>205</v>
      </c>
      <c r="C17" s="10">
        <v>0</v>
      </c>
      <c r="D17" s="10">
        <v>412</v>
      </c>
      <c r="E17" s="5" t="s">
        <v>200</v>
      </c>
      <c r="F17" s="5" t="s">
        <v>206</v>
      </c>
    </row>
    <row r="18" spans="1:6" x14ac:dyDescent="0.35">
      <c r="A18" s="11">
        <v>46053</v>
      </c>
      <c r="B18" s="5" t="s">
        <v>112</v>
      </c>
      <c r="C18" s="10">
        <v>0</v>
      </c>
      <c r="D18" s="10">
        <v>472</v>
      </c>
      <c r="E18" s="5" t="s">
        <v>200</v>
      </c>
      <c r="F18" s="5" t="s">
        <v>206</v>
      </c>
    </row>
    <row r="19" spans="1:6" x14ac:dyDescent="0.35">
      <c r="A19" s="11">
        <v>46056</v>
      </c>
      <c r="B19" s="5" t="s">
        <v>191</v>
      </c>
      <c r="C19" s="10">
        <v>205000</v>
      </c>
      <c r="D19" s="10">
        <v>205000</v>
      </c>
      <c r="E19" s="5" t="s">
        <v>193</v>
      </c>
      <c r="F19" s="5" t="s">
        <v>320</v>
      </c>
    </row>
    <row r="20" spans="1:6" x14ac:dyDescent="0.35">
      <c r="A20" s="11">
        <v>46058</v>
      </c>
      <c r="B20" s="5" t="s">
        <v>159</v>
      </c>
      <c r="C20" s="10">
        <v>0</v>
      </c>
      <c r="D20" s="10">
        <v>45000</v>
      </c>
      <c r="E20" s="5" t="s">
        <v>200</v>
      </c>
      <c r="F20" s="5" t="s">
        <v>206</v>
      </c>
    </row>
    <row r="21" spans="1:6" x14ac:dyDescent="0.35">
      <c r="A21" s="11">
        <v>46059</v>
      </c>
      <c r="B21" s="5" t="s">
        <v>207</v>
      </c>
      <c r="C21" s="10">
        <v>35200</v>
      </c>
      <c r="D21" s="10">
        <v>35200</v>
      </c>
      <c r="E21" s="5" t="s">
        <v>193</v>
      </c>
      <c r="F21" s="5" t="s">
        <v>320</v>
      </c>
    </row>
    <row r="22" spans="1:6" x14ac:dyDescent="0.35">
      <c r="A22" s="11">
        <v>46061</v>
      </c>
      <c r="B22" s="5" t="s">
        <v>192</v>
      </c>
      <c r="C22" s="10">
        <v>72800</v>
      </c>
      <c r="D22" s="10">
        <v>72800</v>
      </c>
      <c r="E22" s="5" t="s">
        <v>193</v>
      </c>
      <c r="F22" s="5" t="s">
        <v>320</v>
      </c>
    </row>
    <row r="23" spans="1:6" x14ac:dyDescent="0.35">
      <c r="A23" s="11">
        <v>46063</v>
      </c>
      <c r="B23" s="5" t="s">
        <v>208</v>
      </c>
      <c r="C23" s="10">
        <v>140500</v>
      </c>
      <c r="D23" s="10">
        <v>140500</v>
      </c>
      <c r="E23" s="5" t="s">
        <v>193</v>
      </c>
      <c r="F23" s="5" t="s">
        <v>320</v>
      </c>
    </row>
    <row r="24" spans="1:6" x14ac:dyDescent="0.35">
      <c r="A24" s="11">
        <v>46068</v>
      </c>
      <c r="B24" s="5" t="s">
        <v>189</v>
      </c>
      <c r="C24" s="10">
        <v>92800</v>
      </c>
      <c r="D24" s="10">
        <v>92800</v>
      </c>
      <c r="E24" s="5" t="s">
        <v>193</v>
      </c>
      <c r="F24" s="5" t="s">
        <v>320</v>
      </c>
    </row>
    <row r="25" spans="1:6" x14ac:dyDescent="0.35">
      <c r="A25" s="11">
        <v>46070</v>
      </c>
      <c r="B25" s="5" t="s">
        <v>195</v>
      </c>
      <c r="C25" s="10">
        <v>36800</v>
      </c>
      <c r="D25" s="10">
        <v>38600</v>
      </c>
      <c r="E25" s="5" t="s">
        <v>200</v>
      </c>
      <c r="F25" s="5" t="s">
        <v>209</v>
      </c>
    </row>
    <row r="26" spans="1:6" x14ac:dyDescent="0.35">
      <c r="A26" s="11">
        <v>46071</v>
      </c>
      <c r="B26" s="5" t="s">
        <v>196</v>
      </c>
      <c r="C26" s="10">
        <v>9180</v>
      </c>
      <c r="D26" s="10">
        <v>9180</v>
      </c>
      <c r="E26" s="5" t="s">
        <v>193</v>
      </c>
      <c r="F26" s="5" t="s">
        <v>320</v>
      </c>
    </row>
    <row r="27" spans="1:6" x14ac:dyDescent="0.35">
      <c r="A27" s="11">
        <v>46072</v>
      </c>
      <c r="B27" s="5" t="s">
        <v>210</v>
      </c>
      <c r="C27" s="10">
        <v>88600</v>
      </c>
      <c r="D27" s="10">
        <v>88600</v>
      </c>
      <c r="E27" s="5" t="s">
        <v>193</v>
      </c>
      <c r="F27" s="5" t="s">
        <v>320</v>
      </c>
    </row>
    <row r="28" spans="1:6" x14ac:dyDescent="0.35">
      <c r="A28" s="11">
        <v>46073</v>
      </c>
      <c r="B28" s="5" t="s">
        <v>198</v>
      </c>
      <c r="C28" s="10">
        <v>4500</v>
      </c>
      <c r="D28" s="10">
        <v>4500</v>
      </c>
      <c r="E28" s="5" t="s">
        <v>193</v>
      </c>
      <c r="F28" s="5" t="s">
        <v>320</v>
      </c>
    </row>
    <row r="29" spans="1:6" x14ac:dyDescent="0.35">
      <c r="A29" s="11">
        <v>46073</v>
      </c>
      <c r="B29" s="5" t="s">
        <v>199</v>
      </c>
      <c r="C29" s="10">
        <v>52800</v>
      </c>
      <c r="D29" s="10">
        <v>52800</v>
      </c>
      <c r="E29" s="5" t="s">
        <v>193</v>
      </c>
      <c r="F29" s="5" t="s">
        <v>320</v>
      </c>
    </row>
    <row r="30" spans="1:6" x14ac:dyDescent="0.35">
      <c r="A30" s="11">
        <v>46075</v>
      </c>
      <c r="B30" s="5" t="s">
        <v>211</v>
      </c>
      <c r="C30" s="10">
        <v>215300</v>
      </c>
      <c r="D30" s="10">
        <v>215300</v>
      </c>
      <c r="E30" s="5" t="s">
        <v>193</v>
      </c>
      <c r="F30" s="5" t="s">
        <v>320</v>
      </c>
    </row>
    <row r="31" spans="1:6" x14ac:dyDescent="0.35">
      <c r="A31" s="11">
        <v>46078</v>
      </c>
      <c r="B31" s="5" t="s">
        <v>201</v>
      </c>
      <c r="C31" s="10">
        <v>31200</v>
      </c>
      <c r="D31" s="10">
        <v>31200</v>
      </c>
      <c r="E31" s="5" t="s">
        <v>193</v>
      </c>
      <c r="F31" s="5" t="s">
        <v>320</v>
      </c>
    </row>
    <row r="32" spans="1:6" x14ac:dyDescent="0.35">
      <c r="A32" s="11">
        <v>46079</v>
      </c>
      <c r="B32" s="5" t="s">
        <v>203</v>
      </c>
      <c r="C32" s="10">
        <v>21300</v>
      </c>
      <c r="D32" s="10">
        <v>21300</v>
      </c>
      <c r="E32" s="5" t="s">
        <v>193</v>
      </c>
      <c r="F32" s="5" t="s">
        <v>320</v>
      </c>
    </row>
    <row r="33" spans="1:6" x14ac:dyDescent="0.35">
      <c r="A33" s="11">
        <v>46081</v>
      </c>
      <c r="B33" s="5" t="s">
        <v>205</v>
      </c>
      <c r="C33" s="10">
        <v>0</v>
      </c>
      <c r="D33" s="10">
        <v>385</v>
      </c>
      <c r="E33" s="5" t="s">
        <v>200</v>
      </c>
      <c r="F33" s="5" t="s">
        <v>206</v>
      </c>
    </row>
    <row r="34" spans="1:6" x14ac:dyDescent="0.35">
      <c r="A34" s="11">
        <v>46084</v>
      </c>
      <c r="B34" s="5" t="s">
        <v>204</v>
      </c>
      <c r="C34" s="10">
        <v>24650</v>
      </c>
      <c r="D34" s="10">
        <v>24650</v>
      </c>
      <c r="E34" s="5" t="s">
        <v>193</v>
      </c>
      <c r="F34" s="5" t="s">
        <v>320</v>
      </c>
    </row>
    <row r="35" spans="1:6" x14ac:dyDescent="0.35">
      <c r="A35" s="11">
        <v>46086</v>
      </c>
      <c r="B35" s="5" t="s">
        <v>191</v>
      </c>
      <c r="C35" s="10">
        <v>195800</v>
      </c>
      <c r="D35" s="10">
        <v>195800</v>
      </c>
      <c r="E35" s="5" t="s">
        <v>193</v>
      </c>
      <c r="F35" s="5" t="s">
        <v>320</v>
      </c>
    </row>
    <row r="36" spans="1:6" x14ac:dyDescent="0.35">
      <c r="A36" s="11">
        <v>46086</v>
      </c>
      <c r="B36" s="5" t="s">
        <v>212</v>
      </c>
      <c r="C36" s="10">
        <v>45000</v>
      </c>
      <c r="D36" s="10">
        <v>45000</v>
      </c>
      <c r="E36" s="5" t="s">
        <v>193</v>
      </c>
      <c r="F36" s="5" t="s">
        <v>320</v>
      </c>
    </row>
    <row r="37" spans="1:6" x14ac:dyDescent="0.35">
      <c r="A37" s="11">
        <v>46090</v>
      </c>
      <c r="B37" s="5" t="s">
        <v>210</v>
      </c>
      <c r="C37" s="10">
        <v>92500</v>
      </c>
      <c r="D37" s="10">
        <v>92500</v>
      </c>
      <c r="E37" s="5" t="s">
        <v>193</v>
      </c>
      <c r="F37" s="5" t="s">
        <v>320</v>
      </c>
    </row>
    <row r="38" spans="1:6" x14ac:dyDescent="0.35">
      <c r="A38" s="11">
        <v>46093</v>
      </c>
      <c r="B38" s="5" t="s">
        <v>194</v>
      </c>
      <c r="C38" s="10">
        <v>58400</v>
      </c>
      <c r="D38" s="10">
        <v>58400</v>
      </c>
      <c r="E38" s="5" t="s">
        <v>193</v>
      </c>
      <c r="F38" s="5" t="s">
        <v>320</v>
      </c>
    </row>
    <row r="39" spans="1:6" x14ac:dyDescent="0.35">
      <c r="A39" s="11">
        <v>46095</v>
      </c>
      <c r="B39" s="5" t="s">
        <v>213</v>
      </c>
      <c r="C39" s="10">
        <v>122400</v>
      </c>
      <c r="D39" s="10">
        <v>122400</v>
      </c>
      <c r="E39" s="5" t="s">
        <v>193</v>
      </c>
      <c r="F39" s="5" t="s">
        <v>320</v>
      </c>
    </row>
    <row r="40" spans="1:6" x14ac:dyDescent="0.35">
      <c r="A40" s="11">
        <v>46098</v>
      </c>
      <c r="B40" s="5" t="s">
        <v>192</v>
      </c>
      <c r="C40" s="10">
        <v>78900</v>
      </c>
      <c r="D40" s="10">
        <v>78900</v>
      </c>
      <c r="E40" s="5" t="s">
        <v>193</v>
      </c>
      <c r="F40" s="5" t="s">
        <v>320</v>
      </c>
    </row>
    <row r="41" spans="1:6" x14ac:dyDescent="0.35">
      <c r="A41" s="11">
        <v>46100</v>
      </c>
      <c r="B41" s="5" t="s">
        <v>196</v>
      </c>
      <c r="C41" s="10">
        <v>8920</v>
      </c>
      <c r="D41" s="10">
        <v>8920</v>
      </c>
      <c r="E41" s="5" t="s">
        <v>193</v>
      </c>
      <c r="F41" s="5" t="s">
        <v>320</v>
      </c>
    </row>
    <row r="42" spans="1:6" x14ac:dyDescent="0.35">
      <c r="A42" s="11">
        <v>46101</v>
      </c>
      <c r="B42" s="5" t="s">
        <v>198</v>
      </c>
      <c r="C42" s="10">
        <v>4500</v>
      </c>
      <c r="D42" s="10">
        <v>4500</v>
      </c>
      <c r="E42" s="5" t="s">
        <v>193</v>
      </c>
      <c r="F42" s="5" t="s">
        <v>320</v>
      </c>
    </row>
    <row r="43" spans="1:6" x14ac:dyDescent="0.35">
      <c r="A43" s="11">
        <v>46101</v>
      </c>
      <c r="B43" s="5" t="s">
        <v>199</v>
      </c>
      <c r="C43" s="10">
        <v>48600</v>
      </c>
      <c r="D43" s="10">
        <v>48600</v>
      </c>
      <c r="E43" s="5" t="s">
        <v>193</v>
      </c>
      <c r="F43" s="5" t="s">
        <v>320</v>
      </c>
    </row>
    <row r="44" spans="1:6" x14ac:dyDescent="0.35">
      <c r="A44" s="11">
        <v>46102</v>
      </c>
      <c r="B44" s="5" t="s">
        <v>197</v>
      </c>
      <c r="C44" s="10">
        <v>145200</v>
      </c>
      <c r="D44" s="10">
        <v>145200</v>
      </c>
      <c r="E44" s="5" t="s">
        <v>193</v>
      </c>
      <c r="F44" s="5" t="s">
        <v>320</v>
      </c>
    </row>
    <row r="45" spans="1:6" x14ac:dyDescent="0.35">
      <c r="A45" s="11">
        <v>46104</v>
      </c>
      <c r="B45" s="5" t="s">
        <v>195</v>
      </c>
      <c r="C45" s="10">
        <v>34600</v>
      </c>
      <c r="D45" s="10">
        <v>34600</v>
      </c>
      <c r="E45" s="5" t="s">
        <v>193</v>
      </c>
      <c r="F45" s="5" t="s">
        <v>320</v>
      </c>
    </row>
    <row r="46" spans="1:6" x14ac:dyDescent="0.35">
      <c r="A46" s="11">
        <v>46106</v>
      </c>
      <c r="B46" s="5" t="s">
        <v>203</v>
      </c>
      <c r="C46" s="10">
        <v>23700</v>
      </c>
      <c r="D46" s="10">
        <v>23700</v>
      </c>
      <c r="E46" s="5" t="s">
        <v>193</v>
      </c>
      <c r="F46" s="5" t="s">
        <v>320</v>
      </c>
    </row>
    <row r="47" spans="1:6" x14ac:dyDescent="0.35">
      <c r="A47" s="11">
        <v>46109</v>
      </c>
      <c r="B47" s="5" t="s">
        <v>213</v>
      </c>
      <c r="C47" s="10">
        <v>22500</v>
      </c>
      <c r="D47" s="10">
        <v>0</v>
      </c>
      <c r="E47" s="5" t="s">
        <v>200</v>
      </c>
      <c r="F47" s="5" t="s">
        <v>202</v>
      </c>
    </row>
    <row r="48" spans="1:6" x14ac:dyDescent="0.35">
      <c r="A48" s="11">
        <v>46109</v>
      </c>
      <c r="B48" s="5" t="s">
        <v>207</v>
      </c>
      <c r="C48" s="10">
        <v>41850</v>
      </c>
      <c r="D48" s="10">
        <v>41850</v>
      </c>
      <c r="E48" s="5" t="s">
        <v>193</v>
      </c>
      <c r="F48" s="5" t="s">
        <v>320</v>
      </c>
    </row>
    <row r="49" spans="1:6" x14ac:dyDescent="0.35">
      <c r="A49" s="11">
        <v>46112</v>
      </c>
      <c r="B49" s="5" t="s">
        <v>205</v>
      </c>
      <c r="C49" s="10">
        <v>0</v>
      </c>
      <c r="D49" s="10">
        <v>428</v>
      </c>
      <c r="E49" s="5" t="s">
        <v>200</v>
      </c>
      <c r="F49" s="5" t="s">
        <v>206</v>
      </c>
    </row>
    <row r="50" spans="1:6" x14ac:dyDescent="0.35">
      <c r="A50" s="78">
        <v>46112</v>
      </c>
      <c r="B50" s="61" t="s">
        <v>235</v>
      </c>
      <c r="C50" s="79">
        <v>0</v>
      </c>
      <c r="D50" s="79">
        <v>590</v>
      </c>
      <c r="E50" s="61" t="s">
        <v>200</v>
      </c>
      <c r="F50" s="61" t="s">
        <v>206</v>
      </c>
    </row>
  </sheetData>
  <conditionalFormatting sqref="E2:E50">
    <cfRule type="containsText" dxfId="1" priority="1" operator="containsText" text="umatched">
      <formula>NOT(ISERROR(SEARCH("umatched",E2)))</formula>
    </cfRule>
    <cfRule type="containsText" dxfId="0" priority="2" operator="containsText" text="Umatched">
      <formula>NOT(ISERROR(SEARCH("Umatched",E2)))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2B41-F9FC-413F-8F2B-DD53DE5D0466}">
  <dimension ref="A1:I21"/>
  <sheetViews>
    <sheetView workbookViewId="0">
      <selection activeCell="A2" sqref="A2"/>
    </sheetView>
  </sheetViews>
  <sheetFormatPr defaultRowHeight="14.5" x14ac:dyDescent="0.35"/>
  <cols>
    <col min="1" max="1" width="19.26953125" customWidth="1"/>
    <col min="2" max="2" width="23" customWidth="1"/>
    <col min="3" max="3" width="32.08984375" customWidth="1"/>
    <col min="4" max="5" width="16.1796875" style="4" customWidth="1"/>
    <col min="6" max="6" width="13.26953125" style="4" customWidth="1"/>
    <col min="7" max="7" width="14.90625" customWidth="1"/>
    <col min="8" max="8" width="55.26953125" bestFit="1" customWidth="1"/>
    <col min="9" max="9" width="30.7265625" bestFit="1" customWidth="1"/>
  </cols>
  <sheetData>
    <row r="1" spans="1:9" ht="17" thickBot="1" x14ac:dyDescent="0.5">
      <c r="A1" s="80" t="s">
        <v>217</v>
      </c>
      <c r="B1" s="72" t="s">
        <v>6</v>
      </c>
      <c r="C1" s="72" t="s">
        <v>184</v>
      </c>
      <c r="D1" s="77" t="s">
        <v>185</v>
      </c>
      <c r="E1" s="77" t="s">
        <v>186</v>
      </c>
      <c r="F1" s="77" t="s">
        <v>214</v>
      </c>
      <c r="G1" s="72" t="s">
        <v>215</v>
      </c>
      <c r="H1" s="72" t="s">
        <v>216</v>
      </c>
      <c r="I1" s="72" t="s">
        <v>322</v>
      </c>
    </row>
    <row r="2" spans="1:9" ht="15" thickTop="1" x14ac:dyDescent="0.35">
      <c r="A2" s="27">
        <v>1</v>
      </c>
      <c r="B2" s="47">
        <v>46023</v>
      </c>
      <c r="C2" s="27" t="s">
        <v>14</v>
      </c>
      <c r="D2" s="49">
        <v>240000</v>
      </c>
      <c r="E2" s="49">
        <v>247850.5</v>
      </c>
      <c r="F2" s="49">
        <v>7850.5</v>
      </c>
      <c r="G2" s="27" t="s">
        <v>218</v>
      </c>
      <c r="H2" s="27" t="s">
        <v>219</v>
      </c>
      <c r="I2" s="27" t="s">
        <v>225</v>
      </c>
    </row>
    <row r="3" spans="1:9" x14ac:dyDescent="0.35">
      <c r="A3" s="5">
        <v>2</v>
      </c>
      <c r="B3" s="11">
        <v>46032</v>
      </c>
      <c r="C3" s="5" t="s">
        <v>194</v>
      </c>
      <c r="D3" s="10">
        <v>42600</v>
      </c>
      <c r="E3" s="10">
        <v>42600</v>
      </c>
      <c r="F3" s="10">
        <v>0</v>
      </c>
      <c r="G3" s="5" t="s">
        <v>222</v>
      </c>
      <c r="H3" s="5" t="s">
        <v>242</v>
      </c>
      <c r="I3" s="5" t="s">
        <v>243</v>
      </c>
    </row>
    <row r="4" spans="1:9" x14ac:dyDescent="0.35">
      <c r="A4" s="5">
        <v>3</v>
      </c>
      <c r="B4" s="11">
        <v>46043</v>
      </c>
      <c r="C4" s="5" t="s">
        <v>198</v>
      </c>
      <c r="D4" s="10">
        <v>4500</v>
      </c>
      <c r="E4" s="10">
        <v>0</v>
      </c>
      <c r="F4" s="10">
        <v>4500</v>
      </c>
      <c r="G4" s="5" t="s">
        <v>221</v>
      </c>
      <c r="H4" s="5" t="s">
        <v>226</v>
      </c>
      <c r="I4" s="5" t="s">
        <v>224</v>
      </c>
    </row>
    <row r="5" spans="1:9" x14ac:dyDescent="0.35">
      <c r="A5" s="5">
        <v>4</v>
      </c>
      <c r="B5" s="11">
        <v>46053</v>
      </c>
      <c r="C5" s="5" t="s">
        <v>205</v>
      </c>
      <c r="D5" s="10">
        <v>0</v>
      </c>
      <c r="E5" s="10">
        <v>412</v>
      </c>
      <c r="F5" s="10">
        <v>412</v>
      </c>
      <c r="G5" s="5" t="s">
        <v>221</v>
      </c>
      <c r="H5" s="5" t="s">
        <v>237</v>
      </c>
      <c r="I5" s="5" t="s">
        <v>238</v>
      </c>
    </row>
    <row r="6" spans="1:9" x14ac:dyDescent="0.35">
      <c r="A6" s="5">
        <v>5</v>
      </c>
      <c r="B6" s="11">
        <v>46053</v>
      </c>
      <c r="C6" s="5" t="s">
        <v>239</v>
      </c>
      <c r="D6" s="10">
        <v>0</v>
      </c>
      <c r="E6" s="10">
        <v>472</v>
      </c>
      <c r="F6" s="10">
        <v>472</v>
      </c>
      <c r="G6" s="5" t="s">
        <v>221</v>
      </c>
      <c r="H6" s="5" t="s">
        <v>229</v>
      </c>
      <c r="I6" s="5" t="s">
        <v>223</v>
      </c>
    </row>
    <row r="7" spans="1:9" x14ac:dyDescent="0.35">
      <c r="A7" s="5">
        <v>6</v>
      </c>
      <c r="B7" s="11">
        <v>46058</v>
      </c>
      <c r="C7" s="5" t="s">
        <v>240</v>
      </c>
      <c r="D7" s="10">
        <v>0</v>
      </c>
      <c r="E7" s="10">
        <v>45000</v>
      </c>
      <c r="F7" s="10">
        <v>45000</v>
      </c>
      <c r="G7" s="5" t="s">
        <v>221</v>
      </c>
      <c r="H7" s="5" t="s">
        <v>236</v>
      </c>
      <c r="I7" s="5" t="s">
        <v>227</v>
      </c>
    </row>
    <row r="8" spans="1:9" x14ac:dyDescent="0.35">
      <c r="A8" s="5">
        <v>7</v>
      </c>
      <c r="B8" s="11">
        <v>46070</v>
      </c>
      <c r="C8" s="5" t="s">
        <v>195</v>
      </c>
      <c r="D8" s="10">
        <v>36800</v>
      </c>
      <c r="E8" s="10">
        <v>38600</v>
      </c>
      <c r="F8" s="10">
        <v>1800</v>
      </c>
      <c r="G8" s="5" t="s">
        <v>221</v>
      </c>
      <c r="H8" s="5" t="s">
        <v>230</v>
      </c>
      <c r="I8" s="5" t="s">
        <v>231</v>
      </c>
    </row>
    <row r="9" spans="1:9" x14ac:dyDescent="0.35">
      <c r="A9" s="5">
        <v>8</v>
      </c>
      <c r="B9" s="11">
        <v>46077</v>
      </c>
      <c r="C9" s="5" t="s">
        <v>244</v>
      </c>
      <c r="D9" s="10">
        <v>215300</v>
      </c>
      <c r="E9" s="10">
        <v>215300</v>
      </c>
      <c r="F9" s="10">
        <v>0</v>
      </c>
      <c r="G9" s="5" t="s">
        <v>246</v>
      </c>
      <c r="H9" s="5" t="s">
        <v>245</v>
      </c>
      <c r="I9" s="5" t="s">
        <v>243</v>
      </c>
    </row>
    <row r="10" spans="1:9" x14ac:dyDescent="0.35">
      <c r="A10" s="5">
        <v>9</v>
      </c>
      <c r="B10" s="11">
        <v>46081</v>
      </c>
      <c r="C10" s="5" t="s">
        <v>205</v>
      </c>
      <c r="D10" s="10">
        <v>0</v>
      </c>
      <c r="E10" s="10">
        <v>385</v>
      </c>
      <c r="F10" s="10">
        <v>385</v>
      </c>
      <c r="G10" s="5" t="s">
        <v>221</v>
      </c>
      <c r="H10" s="5" t="s">
        <v>232</v>
      </c>
      <c r="I10" s="5" t="s">
        <v>233</v>
      </c>
    </row>
    <row r="11" spans="1:9" x14ac:dyDescent="0.35">
      <c r="A11" s="5">
        <v>10</v>
      </c>
      <c r="B11" s="11">
        <v>46109</v>
      </c>
      <c r="C11" s="5" t="s">
        <v>213</v>
      </c>
      <c r="D11" s="10">
        <v>22500</v>
      </c>
      <c r="E11" s="10">
        <v>0</v>
      </c>
      <c r="F11" s="10">
        <v>22500</v>
      </c>
      <c r="G11" s="5" t="s">
        <v>222</v>
      </c>
      <c r="H11" s="5" t="s">
        <v>234</v>
      </c>
      <c r="I11" s="5" t="s">
        <v>241</v>
      </c>
    </row>
    <row r="12" spans="1:9" x14ac:dyDescent="0.35">
      <c r="A12" s="5">
        <v>11</v>
      </c>
      <c r="B12" s="11">
        <v>46112</v>
      </c>
      <c r="C12" s="5" t="s">
        <v>205</v>
      </c>
      <c r="D12" s="10">
        <v>0</v>
      </c>
      <c r="E12" s="10">
        <v>428</v>
      </c>
      <c r="F12" s="10">
        <v>428</v>
      </c>
      <c r="G12" s="5" t="s">
        <v>221</v>
      </c>
      <c r="H12" s="5" t="s">
        <v>228</v>
      </c>
      <c r="I12" s="5" t="s">
        <v>321</v>
      </c>
    </row>
    <row r="13" spans="1:9" x14ac:dyDescent="0.35">
      <c r="A13" s="61">
        <v>12</v>
      </c>
      <c r="B13" s="78">
        <v>46112</v>
      </c>
      <c r="C13" s="61" t="s">
        <v>235</v>
      </c>
      <c r="D13" s="79">
        <v>0</v>
      </c>
      <c r="E13" s="79">
        <v>590</v>
      </c>
      <c r="F13" s="79">
        <v>590</v>
      </c>
      <c r="G13" s="61" t="s">
        <v>221</v>
      </c>
      <c r="H13" s="61" t="s">
        <v>229</v>
      </c>
      <c r="I13" s="61" t="s">
        <v>223</v>
      </c>
    </row>
    <row r="17" spans="1:2" x14ac:dyDescent="0.35">
      <c r="A17" t="s">
        <v>312</v>
      </c>
      <c r="B17" t="s">
        <v>313</v>
      </c>
    </row>
    <row r="18" spans="1:2" ht="58" x14ac:dyDescent="0.35">
      <c r="A18" s="81" t="s">
        <v>314</v>
      </c>
      <c r="B18" s="89" t="s">
        <v>332</v>
      </c>
    </row>
    <row r="19" spans="1:2" ht="58" x14ac:dyDescent="0.35">
      <c r="A19" s="91" t="s">
        <v>315</v>
      </c>
      <c r="B19" s="89" t="s">
        <v>316</v>
      </c>
    </row>
    <row r="20" spans="1:2" ht="72.5" x14ac:dyDescent="0.35">
      <c r="A20" s="91" t="s">
        <v>246</v>
      </c>
      <c r="B20" s="90" t="s">
        <v>317</v>
      </c>
    </row>
    <row r="21" spans="1:2" ht="58" x14ac:dyDescent="0.35">
      <c r="A21" s="91" t="s">
        <v>318</v>
      </c>
      <c r="B21" s="90" t="s">
        <v>319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6383-2ED7-44D0-8B59-E2D890856611}">
  <dimension ref="A1:I22"/>
  <sheetViews>
    <sheetView zoomScale="82" zoomScaleNormal="100" workbookViewId="0">
      <selection activeCell="H16" sqref="H16"/>
    </sheetView>
  </sheetViews>
  <sheetFormatPr defaultRowHeight="14.5" x14ac:dyDescent="0.35"/>
  <cols>
    <col min="1" max="1" width="62.7265625" customWidth="1"/>
    <col min="2" max="2" width="19.36328125" style="4" customWidth="1"/>
  </cols>
  <sheetData>
    <row r="1" spans="1:8" ht="23.5" x14ac:dyDescent="0.55000000000000004">
      <c r="A1" s="50" t="s">
        <v>247</v>
      </c>
    </row>
    <row r="2" spans="1:8" ht="24" thickBot="1" x14ac:dyDescent="0.4">
      <c r="A2" s="51" t="s">
        <v>0</v>
      </c>
    </row>
    <row r="3" spans="1:8" ht="24.5" thickTop="1" thickBot="1" x14ac:dyDescent="0.6">
      <c r="A3" s="54"/>
      <c r="B3" s="55"/>
    </row>
    <row r="4" spans="1:8" ht="24.5" thickTop="1" thickBot="1" x14ac:dyDescent="0.4">
      <c r="A4" s="53" t="s">
        <v>248</v>
      </c>
      <c r="B4" s="56"/>
    </row>
    <row r="5" spans="1:8" ht="22" thickTop="1" thickBot="1" x14ac:dyDescent="0.55000000000000004">
      <c r="A5" s="82" t="s">
        <v>249</v>
      </c>
      <c r="B5" s="83" t="s">
        <v>250</v>
      </c>
    </row>
    <row r="6" spans="1:8" ht="21.5" thickTop="1" x14ac:dyDescent="0.35">
      <c r="A6" s="52" t="s">
        <v>251</v>
      </c>
      <c r="B6" s="88" t="s">
        <v>85</v>
      </c>
    </row>
    <row r="7" spans="1:8" ht="21" x14ac:dyDescent="0.35">
      <c r="A7" s="7" t="s">
        <v>252</v>
      </c>
      <c r="B7" s="85">
        <v>4500</v>
      </c>
    </row>
    <row r="8" spans="1:8" ht="21" x14ac:dyDescent="0.5">
      <c r="A8" s="6" t="s">
        <v>253</v>
      </c>
      <c r="B8" s="85">
        <v>412</v>
      </c>
    </row>
    <row r="9" spans="1:8" ht="21" x14ac:dyDescent="0.5">
      <c r="A9" s="8" t="s">
        <v>254</v>
      </c>
      <c r="B9" s="85">
        <v>472</v>
      </c>
    </row>
    <row r="10" spans="1:8" ht="21" x14ac:dyDescent="0.35">
      <c r="A10" s="7" t="s">
        <v>255</v>
      </c>
      <c r="B10" s="85">
        <v>45000</v>
      </c>
    </row>
    <row r="11" spans="1:8" ht="42" x14ac:dyDescent="0.35">
      <c r="A11" s="7" t="s">
        <v>256</v>
      </c>
      <c r="B11" s="85">
        <v>1800</v>
      </c>
    </row>
    <row r="12" spans="1:8" ht="21" x14ac:dyDescent="0.35">
      <c r="A12" s="7" t="s">
        <v>257</v>
      </c>
      <c r="B12" s="85">
        <v>385</v>
      </c>
    </row>
    <row r="13" spans="1:8" ht="42" x14ac:dyDescent="0.35">
      <c r="A13" s="7" t="s">
        <v>258</v>
      </c>
      <c r="B13" s="85">
        <v>428</v>
      </c>
    </row>
    <row r="14" spans="1:8" ht="21" x14ac:dyDescent="0.35">
      <c r="A14" s="7" t="s">
        <v>259</v>
      </c>
      <c r="B14" s="85">
        <v>590</v>
      </c>
    </row>
    <row r="15" spans="1:8" ht="42" x14ac:dyDescent="0.5">
      <c r="A15" s="6" t="s">
        <v>260</v>
      </c>
      <c r="B15" s="85">
        <v>22500</v>
      </c>
    </row>
    <row r="16" spans="1:8" ht="21" x14ac:dyDescent="0.35">
      <c r="A16" s="9" t="s">
        <v>261</v>
      </c>
      <c r="B16" s="86" t="s">
        <v>264</v>
      </c>
      <c r="H16" s="95"/>
    </row>
    <row r="17" spans="1:9" ht="42" x14ac:dyDescent="0.35">
      <c r="A17" s="9" t="s">
        <v>262</v>
      </c>
      <c r="B17" s="86">
        <v>7850.5</v>
      </c>
    </row>
    <row r="18" spans="1:9" ht="21" x14ac:dyDescent="0.35">
      <c r="A18" s="84" t="s">
        <v>263</v>
      </c>
      <c r="B18" s="87" t="s">
        <v>265</v>
      </c>
    </row>
    <row r="21" spans="1:9" x14ac:dyDescent="0.35">
      <c r="A21" s="94"/>
    </row>
    <row r="22" spans="1:9" ht="21" x14ac:dyDescent="0.5">
      <c r="A22" s="122" t="s">
        <v>323</v>
      </c>
      <c r="B22" s="122"/>
      <c r="C22" s="122"/>
      <c r="D22" s="122"/>
      <c r="E22" s="122"/>
      <c r="F22" s="122"/>
      <c r="G22" s="122"/>
      <c r="H22" s="122"/>
      <c r="I22" s="122"/>
    </row>
  </sheetData>
  <mergeCells count="1">
    <mergeCell ref="A22:I22"/>
  </mergeCells>
  <phoneticPr fontId="16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E536AE-6D3C-4738-AC47-CE418B8B2B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Chart Data</vt:lpstr>
      <vt:lpstr>Zoho Ledger</vt:lpstr>
      <vt:lpstr>HDFC Statements</vt:lpstr>
      <vt:lpstr>Matched Transactions</vt:lpstr>
      <vt:lpstr>Discrepancy Analysis</vt:lpstr>
      <vt:lpstr>BRS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nihalika yadav</dc:creator>
  <cp:lastModifiedBy>nihalika yadav</cp:lastModifiedBy>
  <cp:lastPrinted>2026-05-11T11:10:53Z</cp:lastPrinted>
  <dcterms:created xsi:type="dcterms:W3CDTF">2026-05-11T05:30:02Z</dcterms:created>
  <dcterms:modified xsi:type="dcterms:W3CDTF">2026-08-06T16:38:02Z</dcterms:modified>
</cp:coreProperties>
</file>